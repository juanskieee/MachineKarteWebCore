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525" windowHeight="7095" tabRatio="658" firstSheet="2" activeTab="4"/>
  </bookViews>
  <sheets>
    <sheet name="Sheet1" sheetId="22" state="hidden" r:id="rId1"/>
    <sheet name="BMK" sheetId="15" state="hidden" r:id="rId2"/>
    <sheet name="INDICES" sheetId="18" r:id="rId3"/>
    <sheet name="ACTIVITIES" sheetId="16" state="hidden" r:id="rId4"/>
    <sheet name="FOR POSTING" sheetId="26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1Q" localSheetId="2">#REF!</definedName>
    <definedName name="_1Q">#REF!</definedName>
    <definedName name="_2Q" localSheetId="2">#REF!</definedName>
    <definedName name="_2Q">#REF!</definedName>
    <definedName name="_3Q" localSheetId="2">#REF!</definedName>
    <definedName name="_3Q">#REF!</definedName>
    <definedName name="_4Q" localSheetId="2">#REF!</definedName>
    <definedName name="_4Q">#REF!</definedName>
    <definedName name="_M" localSheetId="2">#REF!</definedName>
    <definedName name="_M">#REF!</definedName>
    <definedName name="_Sort" hidden="1">#REF!</definedName>
    <definedName name="a" localSheetId="2">#REF!</definedName>
    <definedName name="a">#REF!</definedName>
    <definedName name="b">#REF!</definedName>
    <definedName name="ＢＧＡ中日程">'[1]FBGA材料 '!$B$80:$I$89</definedName>
    <definedName name="ＢＧＡ投入計画">'[1]FBGA材料 '!$A$6:$D$13</definedName>
    <definedName name="d">#REF!</definedName>
    <definedName name="data." localSheetId="2" hidden="1">{#N/A,#N/A,FALSE,"1181";#N/A,#N/A,FALSE,"1188";#N/A,#N/A,FALSE,"1405";#N/A,#N/A,FALSE,"1406";#N/A,#N/A,FALSE,"1436";#N/A,#N/A,FALSE,"1463";#N/A,#N/A,FALSE,"1468";#N/A,#N/A,FALSE,"1470";#N/A,#N/A,FALSE,"1624"}</definedName>
    <definedName name="data." hidden="1">{#N/A,#N/A,FALSE,"1181";#N/A,#N/A,FALSE,"1188";#N/A,#N/A,FALSE,"1405";#N/A,#N/A,FALSE,"1406";#N/A,#N/A,FALSE,"1436";#N/A,#N/A,FALSE,"1463";#N/A,#N/A,FALSE,"1468";#N/A,#N/A,FALSE,"1470";#N/A,#N/A,FALSE,"1624"}</definedName>
    <definedName name="DUMB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UMB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>#REF!</definedName>
    <definedName name="erick">[2]wk12!$H$6:$H$22</definedName>
    <definedName name="FORM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[3]TPG1!$A$2:$AU$47</definedName>
    <definedName name="FTﾃﾞ_ﾀ_">#REF!</definedName>
    <definedName name="GGGG_JJJJ_LO" localSheetId="2">#REF!</definedName>
    <definedName name="GGGG_JJJJ_LO">#REF!</definedName>
    <definedName name="gh" localSheetId="2" hidden="1">{#N/A,#N/A,FALSE,"1181";#N/A,#N/A,FALSE,"1188";#N/A,#N/A,FALSE,"1405";#N/A,#N/A,FALSE,"1406";#N/A,#N/A,FALSE,"1436";#N/A,#N/A,FALSE,"1463";#N/A,#N/A,FALSE,"1468";#N/A,#N/A,FALSE,"1470";#N/A,#N/A,FALSE,"1624"}</definedName>
    <definedName name="gh" hidden="1">{#N/A,#N/A,FALSE,"1181";#N/A,#N/A,FALSE,"1188";#N/A,#N/A,FALSE,"1405";#N/A,#N/A,FALSE,"1406";#N/A,#N/A,FALSE,"1436";#N/A,#N/A,FALSE,"1463";#N/A,#N/A,FALSE,"1468";#N/A,#N/A,FALSE,"1470";#N/A,#N/A,FALSE,"1624"}</definedName>
    <definedName name="GHI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HI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HH" localSheetId="2">#REF!</definedName>
    <definedName name="HHH">#REF!</definedName>
    <definedName name="ＩＣＡトレー">[1]ICA投入（トレ－）!$C$1:$G$75</definedName>
    <definedName name="in">'[2]wkly sumari'!$A$8:$A$24</definedName>
    <definedName name="K" localSheetId="2">#REF!</definedName>
    <definedName name="K">#REF!</definedName>
    <definedName name="kh" localSheetId="2" hidden="1">{#N/A,#N/A,FALSE,"1181";#N/A,#N/A,FALSE,"1188";#N/A,#N/A,FALSE,"1405";#N/A,#N/A,FALSE,"1406";#N/A,#N/A,FALSE,"1436";#N/A,#N/A,FALSE,"1463";#N/A,#N/A,FALSE,"1468";#N/A,#N/A,FALSE,"1470";#N/A,#N/A,FALSE,"1624"}</definedName>
    <definedName name="kh" hidden="1">{#N/A,#N/A,FALSE,"1181";#N/A,#N/A,FALSE,"1188";#N/A,#N/A,FALSE,"1405";#N/A,#N/A,FALSE,"1406";#N/A,#N/A,FALSE,"1436";#N/A,#N/A,FALSE,"1463";#N/A,#N/A,FALSE,"1468";#N/A,#N/A,FALSE,"1470";#N/A,#N/A,FALSE,"1624"}</definedName>
    <definedName name="KIKO" localSheetId="2">#REF!</definedName>
    <definedName name="KIKO">#REF!</definedName>
    <definedName name="L" localSheetId="2">#REF!</definedName>
    <definedName name="L">#REF!</definedName>
    <definedName name="lik">[2]wk12!$A$3:$H$22</definedName>
    <definedName name="lo">[2]wk12!$A$6:$B$22</definedName>
    <definedName name="love">[2]wk12!$A$3:$B$22</definedName>
    <definedName name="mahal">[2]wk12!$A$3:$H$28</definedName>
    <definedName name="p">#REF!</definedName>
    <definedName name="PM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lnm.Print_Area" localSheetId="1">BMK!$A$68:$E$73</definedName>
    <definedName name="_xlnm.Print_Area" localSheetId="2">INDICES!$A$1:$AQ$120</definedName>
    <definedName name="_xlnm.Print_Area">#REF!</definedName>
    <definedName name="PRINT_AREA_MI" localSheetId="2">#REF!</definedName>
    <definedName name="PRINT_AREA_MI">#REF!</definedName>
    <definedName name="PWR">'[4]TWACSPWR-03'!$C$2:$AG$47</definedName>
    <definedName name="Q_REPI機種別工程仕掛ｻﾏﾘｰ" localSheetId="2">#REF!</definedName>
    <definedName name="Q_REPI機種別工程仕掛ｻﾏﾘｰ">#REF!</definedName>
    <definedName name="REDUCE" localSheetId="2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投入_">#REF!</definedName>
    <definedName name="REPI製造大日程_PKG投入_">#REF!</definedName>
    <definedName name="rik">[2]wk12!$G$3:$H$22</definedName>
    <definedName name="RON" localSheetId="2" hidden="1">{#N/A,#N/A,FALSE,"1181";#N/A,#N/A,FALSE,"1188";#N/A,#N/A,FALSE,"1405";#N/A,#N/A,FALSE,"1406";#N/A,#N/A,FALSE,"1436";#N/A,#N/A,FALSE,"1463";#N/A,#N/A,FALSE,"1468";#N/A,#N/A,FALSE,"1470";#N/A,#N/A,FALSE,"1624"}</definedName>
    <definedName name="RON" hidden="1">{#N/A,#N/A,FALSE,"1181";#N/A,#N/A,FALSE,"1188";#N/A,#N/A,FALSE,"1405";#N/A,#N/A,FALSE,"1406";#N/A,#N/A,FALSE,"1436";#N/A,#N/A,FALSE,"1463";#N/A,#N/A,FALSE,"1468";#N/A,#N/A,FALSE,"1470";#N/A,#N/A,FALSE,"1624"}</definedName>
    <definedName name="RONA" localSheetId="2" hidden="1">{#N/A,#N/A,FALSE,"1181";#N/A,#N/A,FALSE,"1188";#N/A,#N/A,FALSE,"1405";#N/A,#N/A,FALSE,"1406";#N/A,#N/A,FALSE,"1436";#N/A,#N/A,FALSE,"1463";#N/A,#N/A,FALSE,"1468";#N/A,#N/A,FALSE,"1470";#N/A,#N/A,FALSE,"1624"}</definedName>
    <definedName name="RONA" hidden="1">{#N/A,#N/A,FALSE,"1181";#N/A,#N/A,FALSE,"1188";#N/A,#N/A,FALSE,"1405";#N/A,#N/A,FALSE,"1406";#N/A,#N/A,FALSE,"1436";#N/A,#N/A,FALSE,"1463";#N/A,#N/A,FALSE,"1468";#N/A,#N/A,FALSE,"1470";#N/A,#N/A,FALSE,"1624"}</definedName>
    <definedName name="rose">[2]wk12!$A$6:$A$22</definedName>
    <definedName name="salen" localSheetId="2">#REF!</definedName>
    <definedName name="salen">#REF!</definedName>
    <definedName name="SWORK" localSheetId="2" hidden="1">{#N/A,#N/A,FALSE,"1181";#N/A,#N/A,FALSE,"1188";#N/A,#N/A,FALSE,"1405";#N/A,#N/A,FALSE,"1406";#N/A,#N/A,FALSE,"1436";#N/A,#N/A,FALSE,"1463";#N/A,#N/A,FALSE,"1468";#N/A,#N/A,FALSE,"1470";#N/A,#N/A,FALSE,"1624"}</definedName>
    <definedName name="SWORK" hidden="1">{#N/A,#N/A,FALSE,"1181";#N/A,#N/A,FALSE,"1188";#N/A,#N/A,FALSE,"1405";#N/A,#N/A,FALSE,"1406";#N/A,#N/A,FALSE,"1436";#N/A,#N/A,FALSE,"1463";#N/A,#N/A,FALSE,"1468";#N/A,#N/A,FALSE,"1470";#N/A,#N/A,FALSE,"1624"}</definedName>
    <definedName name="TP">#REF!</definedName>
    <definedName name="WEEKLY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EEK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ERE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ER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1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PMCAL." localSheetId="2" hidden="1">{#N/A,#N/A,FALSE,"1181";#N/A,#N/A,FALSE,"1188";#N/A,#N/A,FALSE,"1405";#N/A,#N/A,FALSE,"1406";#N/A,#N/A,FALSE,"1436";#N/A,#N/A,FALSE,"1463";#N/A,#N/A,FALSE,"1468";#N/A,#N/A,FALSE,"1470";#N/A,#N/A,FALSE,"1624"}</definedName>
    <definedName name="wrn.PMCAL." hidden="1">{#N/A,#N/A,FALSE,"1181";#N/A,#N/A,FALSE,"1188";#N/A,#N/A,FALSE,"1405";#N/A,#N/A,FALSE,"1406";#N/A,#N/A,FALSE,"1436";#N/A,#N/A,FALSE,"1463";#N/A,#N/A,FALSE,"1468";#N/A,#N/A,FALSE,"1470";#N/A,#N/A,FALSE,"1624"}</definedName>
    <definedName name="WWWW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あ">#REF!</definedName>
    <definedName name="出荷予定Ｓ">[1]LSI出荷予定Ｓ!$A$9:$J$81</definedName>
    <definedName name="出荷計画Ｎ">[1]LSI出荷予定N!$A$9:$J$34</definedName>
    <definedName name="大日程1次">#REF!</definedName>
    <definedName name="大日程1次_見直し_">#REF!</definedName>
    <definedName name="工場割振STEP3">#REF!</definedName>
    <definedName name="投入可能数">'[1]投入可能数 (TOTAL)'!$B$9:$H$114</definedName>
    <definedName name="投入可能数２">'[1]投入可能数 (TOTAL)'!$B$9:$N$114</definedName>
    <definedName name="投入実績ＩＣＡ">[1]投入計画!$B$120:$E$236</definedName>
    <definedName name="投入計画ＩＣＡ">[5]投入計画!$B$130:$E$250</definedName>
    <definedName name="投入計画ＬＳＩ">[1]投入計画!$B$1:$E$117</definedName>
    <definedName name="黒コン">[1]黒コン設定数量!$C$34:$F$136</definedName>
  </definedNames>
  <calcPr calcId="125725"/>
</workbook>
</file>

<file path=xl/calcChain.xml><?xml version="1.0" encoding="utf-8"?>
<calcChain xmlns="http://schemas.openxmlformats.org/spreadsheetml/2006/main">
  <c r="D9" i="18"/>
  <c r="D25"/>
  <c r="D33"/>
  <c r="D42"/>
  <c r="D50"/>
  <c r="D58"/>
  <c r="D67"/>
  <c r="D75"/>
  <c r="D83"/>
  <c r="D91"/>
  <c r="D99"/>
  <c r="D107"/>
  <c r="D115"/>
  <c r="P115"/>
  <c r="O115"/>
  <c r="N115"/>
  <c r="M115"/>
  <c r="L115"/>
  <c r="K115"/>
  <c r="J115"/>
  <c r="I115"/>
  <c r="H115"/>
  <c r="G115"/>
  <c r="F115"/>
  <c r="E115"/>
  <c r="C115"/>
  <c r="B115"/>
  <c r="T114"/>
  <c r="S114"/>
  <c r="S113"/>
  <c r="T113" s="1"/>
  <c r="T112"/>
  <c r="S112"/>
  <c r="S111"/>
  <c r="T111" s="1"/>
  <c r="T115" s="1"/>
  <c r="S82"/>
  <c r="T82" s="1"/>
  <c r="T81"/>
  <c r="S81"/>
  <c r="S80"/>
  <c r="T80" s="1"/>
  <c r="S79"/>
  <c r="S83" s="1"/>
  <c r="S84" s="1"/>
  <c r="S115" l="1"/>
  <c r="S116" s="1"/>
  <c r="E116" s="1"/>
  <c r="F116" s="1"/>
  <c r="G116" s="1"/>
  <c r="H116" s="1"/>
  <c r="I116" s="1"/>
  <c r="J116" s="1"/>
  <c r="K116" s="1"/>
  <c r="L116" s="1"/>
  <c r="M116" s="1"/>
  <c r="N116" s="1"/>
  <c r="O116" s="1"/>
  <c r="P116" s="1"/>
  <c r="T79"/>
  <c r="T83" s="1"/>
  <c r="F75"/>
  <c r="S47" l="1"/>
  <c r="S48"/>
  <c r="S49"/>
  <c r="S46"/>
  <c r="S39"/>
  <c r="S40"/>
  <c r="S41"/>
  <c r="S38"/>
  <c r="T38" s="1"/>
  <c r="T42" s="1"/>
  <c r="C50"/>
  <c r="C42"/>
  <c r="S105"/>
  <c r="S104"/>
  <c r="S103"/>
  <c r="S107" s="1"/>
  <c r="S108" s="1"/>
  <c r="E108" s="1"/>
  <c r="F108" s="1"/>
  <c r="G108" s="1"/>
  <c r="H108" s="1"/>
  <c r="I108" s="1"/>
  <c r="J108" s="1"/>
  <c r="K108" s="1"/>
  <c r="L108" s="1"/>
  <c r="M108" s="1"/>
  <c r="N108" s="1"/>
  <c r="O108" s="1"/>
  <c r="P108" s="1"/>
  <c r="Y33"/>
  <c r="Y10"/>
  <c r="C91"/>
  <c r="C83"/>
  <c r="C75"/>
  <c r="C67"/>
  <c r="C33"/>
  <c r="C25"/>
  <c r="S106"/>
  <c r="T106" s="1"/>
  <c r="AO18"/>
  <c r="AN17"/>
  <c r="AN16"/>
  <c r="AN15"/>
  <c r="AN14"/>
  <c r="AN18"/>
  <c r="AP15" s="1"/>
  <c r="AO25"/>
  <c r="AN105"/>
  <c r="AN106"/>
  <c r="AN107"/>
  <c r="AO108"/>
  <c r="P107"/>
  <c r="O107"/>
  <c r="N107"/>
  <c r="M107"/>
  <c r="L107"/>
  <c r="K107"/>
  <c r="J107"/>
  <c r="I107"/>
  <c r="H107"/>
  <c r="G107"/>
  <c r="F107"/>
  <c r="E107"/>
  <c r="C107"/>
  <c r="B107"/>
  <c r="T105"/>
  <c r="T104"/>
  <c r="AK101"/>
  <c r="AJ101"/>
  <c r="AI101"/>
  <c r="AH101"/>
  <c r="AG101"/>
  <c r="AF101"/>
  <c r="AE101"/>
  <c r="AD101"/>
  <c r="AC101"/>
  <c r="AB101"/>
  <c r="AA101"/>
  <c r="Z101"/>
  <c r="Y101"/>
  <c r="T5"/>
  <c r="T6"/>
  <c r="T7"/>
  <c r="T8"/>
  <c r="B9"/>
  <c r="C9"/>
  <c r="E9"/>
  <c r="F9"/>
  <c r="G9"/>
  <c r="H9"/>
  <c r="I9"/>
  <c r="J9"/>
  <c r="K9"/>
  <c r="L9"/>
  <c r="M9"/>
  <c r="N9"/>
  <c r="O9"/>
  <c r="P9"/>
  <c r="S9"/>
  <c r="S10" s="1"/>
  <c r="E10" s="1"/>
  <c r="F10" s="1"/>
  <c r="G10" s="1"/>
  <c r="H10" s="1"/>
  <c r="I10" s="1"/>
  <c r="J10" s="1"/>
  <c r="K10" s="1"/>
  <c r="L10" s="1"/>
  <c r="M10" s="1"/>
  <c r="N10" s="1"/>
  <c r="O10" s="1"/>
  <c r="P10" s="1"/>
  <c r="C14"/>
  <c r="E14"/>
  <c r="F14"/>
  <c r="G14"/>
  <c r="H14"/>
  <c r="I14"/>
  <c r="J14"/>
  <c r="K14"/>
  <c r="L14"/>
  <c r="M14"/>
  <c r="N14"/>
  <c r="O14"/>
  <c r="P14"/>
  <c r="C15"/>
  <c r="E15"/>
  <c r="E18" s="1"/>
  <c r="E11" s="1"/>
  <c r="F15"/>
  <c r="G15"/>
  <c r="H15"/>
  <c r="I15"/>
  <c r="J15"/>
  <c r="K15"/>
  <c r="K18" s="1"/>
  <c r="K11" s="1"/>
  <c r="L15"/>
  <c r="M15"/>
  <c r="N15"/>
  <c r="O15"/>
  <c r="P15"/>
  <c r="C16"/>
  <c r="E16"/>
  <c r="F16"/>
  <c r="G16"/>
  <c r="H16"/>
  <c r="I16"/>
  <c r="J16"/>
  <c r="K16"/>
  <c r="L16"/>
  <c r="M16"/>
  <c r="N16"/>
  <c r="O16"/>
  <c r="P16"/>
  <c r="C17"/>
  <c r="C18"/>
  <c r="C11" s="1"/>
  <c r="E17"/>
  <c r="F17"/>
  <c r="G17"/>
  <c r="H17"/>
  <c r="H18"/>
  <c r="H11" s="1"/>
  <c r="I17"/>
  <c r="J17"/>
  <c r="K17"/>
  <c r="L17"/>
  <c r="M17"/>
  <c r="N17"/>
  <c r="O17"/>
  <c r="P17"/>
  <c r="B18"/>
  <c r="B11" s="1"/>
  <c r="S21"/>
  <c r="S22"/>
  <c r="T22"/>
  <c r="S23"/>
  <c r="T23"/>
  <c r="S24"/>
  <c r="T24"/>
  <c r="B25"/>
  <c r="E25"/>
  <c r="F25"/>
  <c r="G25"/>
  <c r="H25"/>
  <c r="I25"/>
  <c r="J25"/>
  <c r="K25"/>
  <c r="L25"/>
  <c r="M25"/>
  <c r="N25"/>
  <c r="O25"/>
  <c r="P25"/>
  <c r="S29"/>
  <c r="T29" s="1"/>
  <c r="S30"/>
  <c r="T30" s="1"/>
  <c r="S31"/>
  <c r="T31" s="1"/>
  <c r="S32"/>
  <c r="T32" s="1"/>
  <c r="B33"/>
  <c r="E33"/>
  <c r="F33"/>
  <c r="G33"/>
  <c r="H33"/>
  <c r="I33"/>
  <c r="J33"/>
  <c r="K33"/>
  <c r="L33"/>
  <c r="M33"/>
  <c r="N33"/>
  <c r="O33"/>
  <c r="P33"/>
  <c r="T54"/>
  <c r="T55"/>
  <c r="T56"/>
  <c r="T57"/>
  <c r="B58"/>
  <c r="C58"/>
  <c r="E58"/>
  <c r="F58"/>
  <c r="G58"/>
  <c r="H58"/>
  <c r="I58"/>
  <c r="J58"/>
  <c r="K58"/>
  <c r="L58"/>
  <c r="M58"/>
  <c r="N58"/>
  <c r="O58"/>
  <c r="P58"/>
  <c r="S58"/>
  <c r="AN29"/>
  <c r="AN30"/>
  <c r="AN31"/>
  <c r="AN32"/>
  <c r="Z33"/>
  <c r="AA33"/>
  <c r="AB33"/>
  <c r="AC33"/>
  <c r="AD33"/>
  <c r="AE33"/>
  <c r="AF33"/>
  <c r="AG33"/>
  <c r="AH33"/>
  <c r="AI33"/>
  <c r="AJ33"/>
  <c r="AK33"/>
  <c r="AO33"/>
  <c r="AO34"/>
  <c r="Z34" s="1"/>
  <c r="AA34" s="1"/>
  <c r="AB34" s="1"/>
  <c r="AC34" s="1"/>
  <c r="AD34" s="1"/>
  <c r="AE34" s="1"/>
  <c r="AF34" s="1"/>
  <c r="AG34" s="1"/>
  <c r="AH34" s="1"/>
  <c r="AI34" s="1"/>
  <c r="AJ34" s="1"/>
  <c r="AK34" s="1"/>
  <c r="AN37"/>
  <c r="AO37" s="1"/>
  <c r="X38"/>
  <c r="AN39"/>
  <c r="AO39" s="1"/>
  <c r="AN40"/>
  <c r="AO40" s="1"/>
  <c r="S71"/>
  <c r="T71" s="1"/>
  <c r="S72"/>
  <c r="T72" s="1"/>
  <c r="S73"/>
  <c r="T73" s="1"/>
  <c r="S74"/>
  <c r="T74" s="1"/>
  <c r="B75"/>
  <c r="E75"/>
  <c r="G75"/>
  <c r="H75"/>
  <c r="I75"/>
  <c r="J75"/>
  <c r="K75"/>
  <c r="L75"/>
  <c r="M75"/>
  <c r="N75"/>
  <c r="O75"/>
  <c r="P75"/>
  <c r="X46"/>
  <c r="X49" s="1"/>
  <c r="S63"/>
  <c r="S64"/>
  <c r="S65"/>
  <c r="S67" s="1"/>
  <c r="T68" s="1"/>
  <c r="E68" s="1"/>
  <c r="F68" s="1"/>
  <c r="G68" s="1"/>
  <c r="H68" s="1"/>
  <c r="I68" s="1"/>
  <c r="J68" s="1"/>
  <c r="K68" s="1"/>
  <c r="L68" s="1"/>
  <c r="M68" s="1"/>
  <c r="N68" s="1"/>
  <c r="O68" s="1"/>
  <c r="P68" s="1"/>
  <c r="S66"/>
  <c r="B67"/>
  <c r="E67"/>
  <c r="F67"/>
  <c r="G67"/>
  <c r="H67"/>
  <c r="I67"/>
  <c r="J67"/>
  <c r="K67"/>
  <c r="L67"/>
  <c r="M67"/>
  <c r="N67"/>
  <c r="O67"/>
  <c r="P67"/>
  <c r="T67"/>
  <c r="AN53"/>
  <c r="AN54"/>
  <c r="AN55"/>
  <c r="AN56"/>
  <c r="AN57"/>
  <c r="AN58"/>
  <c r="AN63"/>
  <c r="AP53"/>
  <c r="AN64"/>
  <c r="AP54" s="1"/>
  <c r="AN65"/>
  <c r="AP55" s="1"/>
  <c r="AN66"/>
  <c r="AP56" s="1"/>
  <c r="AN67"/>
  <c r="AP57" s="1"/>
  <c r="AN68"/>
  <c r="AP58" s="1"/>
  <c r="AN73"/>
  <c r="AN74"/>
  <c r="AN75"/>
  <c r="AN76"/>
  <c r="AN77"/>
  <c r="AN78"/>
  <c r="AN79"/>
  <c r="AN84"/>
  <c r="AP73"/>
  <c r="AN85"/>
  <c r="AP74" s="1"/>
  <c r="AN86"/>
  <c r="AN87"/>
  <c r="AP75" s="1"/>
  <c r="AN88"/>
  <c r="AP76" s="1"/>
  <c r="AN89"/>
  <c r="AP77"/>
  <c r="AN90"/>
  <c r="AP78" s="1"/>
  <c r="AN91"/>
  <c r="AP79" s="1"/>
  <c r="B83"/>
  <c r="E83"/>
  <c r="F83"/>
  <c r="G83"/>
  <c r="H83"/>
  <c r="I83"/>
  <c r="J83"/>
  <c r="K83"/>
  <c r="L83"/>
  <c r="M83"/>
  <c r="N83"/>
  <c r="O83"/>
  <c r="P83"/>
  <c r="S87"/>
  <c r="T87" s="1"/>
  <c r="S88"/>
  <c r="T88" s="1"/>
  <c r="S89"/>
  <c r="T89" s="1"/>
  <c r="S90"/>
  <c r="S91" s="1"/>
  <c r="S92" s="1"/>
  <c r="E92" s="1"/>
  <c r="F92" s="1"/>
  <c r="G92" s="1"/>
  <c r="H92" s="1"/>
  <c r="I92" s="1"/>
  <c r="J92" s="1"/>
  <c r="K92" s="1"/>
  <c r="L92" s="1"/>
  <c r="M92" s="1"/>
  <c r="N92" s="1"/>
  <c r="O92" s="1"/>
  <c r="P92" s="1"/>
  <c r="B91"/>
  <c r="E91"/>
  <c r="F91"/>
  <c r="G91"/>
  <c r="H91"/>
  <c r="I91"/>
  <c r="J91"/>
  <c r="K91"/>
  <c r="L91"/>
  <c r="M91"/>
  <c r="N91"/>
  <c r="O91"/>
  <c r="P91"/>
  <c r="S95"/>
  <c r="T95" s="1"/>
  <c r="S96"/>
  <c r="T96"/>
  <c r="S97"/>
  <c r="T97" s="1"/>
  <c r="S98"/>
  <c r="T98" s="1"/>
  <c r="B99"/>
  <c r="C99"/>
  <c r="E99"/>
  <c r="F99"/>
  <c r="G99"/>
  <c r="H99"/>
  <c r="I99"/>
  <c r="J99"/>
  <c r="K99"/>
  <c r="L99"/>
  <c r="M99"/>
  <c r="N99"/>
  <c r="O99"/>
  <c r="P99"/>
  <c r="AN5"/>
  <c r="AN6"/>
  <c r="AN7"/>
  <c r="AN8"/>
  <c r="AN9"/>
  <c r="X10"/>
  <c r="Z10"/>
  <c r="AA10"/>
  <c r="AB10"/>
  <c r="AC10"/>
  <c r="AD10"/>
  <c r="AE10"/>
  <c r="AF10"/>
  <c r="AG10"/>
  <c r="AH10"/>
  <c r="AI10"/>
  <c r="AJ10"/>
  <c r="AK10"/>
  <c r="AO10"/>
  <c r="T39"/>
  <c r="T40"/>
  <c r="T41"/>
  <c r="B42"/>
  <c r="E42"/>
  <c r="F42"/>
  <c r="G42"/>
  <c r="H42"/>
  <c r="I42"/>
  <c r="J42"/>
  <c r="K42"/>
  <c r="L42"/>
  <c r="M42"/>
  <c r="N42"/>
  <c r="O42"/>
  <c r="P42"/>
  <c r="T46"/>
  <c r="T47"/>
  <c r="T48"/>
  <c r="T49"/>
  <c r="B50"/>
  <c r="E50"/>
  <c r="F50"/>
  <c r="G50"/>
  <c r="H50"/>
  <c r="I50"/>
  <c r="J50"/>
  <c r="K50"/>
  <c r="L50"/>
  <c r="M50"/>
  <c r="N50"/>
  <c r="O50"/>
  <c r="P50"/>
  <c r="S50"/>
  <c r="S51" s="1"/>
  <c r="E51" s="1"/>
  <c r="F51" s="1"/>
  <c r="G51" s="1"/>
  <c r="H51" s="1"/>
  <c r="I51" s="1"/>
  <c r="J51" s="1"/>
  <c r="K51" s="1"/>
  <c r="L51" s="1"/>
  <c r="M51" s="1"/>
  <c r="N51" s="1"/>
  <c r="O51" s="1"/>
  <c r="P51" s="1"/>
  <c r="Y18"/>
  <c r="Z18"/>
  <c r="AA18"/>
  <c r="AB18"/>
  <c r="AC18"/>
  <c r="AD18"/>
  <c r="AE18"/>
  <c r="AF18"/>
  <c r="AG18"/>
  <c r="AH18"/>
  <c r="AI18"/>
  <c r="AJ18"/>
  <c r="AK18"/>
  <c r="Z25"/>
  <c r="AA25"/>
  <c r="AB25"/>
  <c r="AC25"/>
  <c r="AD25"/>
  <c r="AE25"/>
  <c r="AF25"/>
  <c r="AG25"/>
  <c r="AH25"/>
  <c r="AI25"/>
  <c r="AJ25"/>
  <c r="AK25"/>
  <c r="L3" i="15"/>
  <c r="N3"/>
  <c r="L4"/>
  <c r="N4"/>
  <c r="L5"/>
  <c r="N5"/>
  <c r="L6"/>
  <c r="M6"/>
  <c r="M7"/>
  <c r="B7"/>
  <c r="C7"/>
  <c r="D7"/>
  <c r="E7"/>
  <c r="F7"/>
  <c r="G7"/>
  <c r="H7"/>
  <c r="I7"/>
  <c r="J7"/>
  <c r="L10"/>
  <c r="L14"/>
  <c r="L11"/>
  <c r="N11"/>
  <c r="L12"/>
  <c r="N12"/>
  <c r="L13"/>
  <c r="N13"/>
  <c r="B14"/>
  <c r="C14"/>
  <c r="D14"/>
  <c r="E14"/>
  <c r="F14"/>
  <c r="G14"/>
  <c r="H14"/>
  <c r="I14"/>
  <c r="J14"/>
  <c r="M14"/>
  <c r="P14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B28"/>
  <c r="C28"/>
  <c r="D28"/>
  <c r="E28"/>
  <c r="F28"/>
  <c r="G28"/>
  <c r="H28"/>
  <c r="I28"/>
  <c r="J28"/>
  <c r="M28"/>
  <c r="P28"/>
  <c r="N31"/>
  <c r="N32"/>
  <c r="N33"/>
  <c r="N34"/>
  <c r="N35"/>
  <c r="N36"/>
  <c r="N37"/>
  <c r="N38"/>
  <c r="N39"/>
  <c r="N40"/>
  <c r="L41"/>
  <c r="M41"/>
  <c r="P41"/>
  <c r="N41"/>
  <c r="D45"/>
  <c r="N45"/>
  <c r="N57"/>
  <c r="D46"/>
  <c r="D57"/>
  <c r="M46"/>
  <c r="E47"/>
  <c r="M47"/>
  <c r="D48"/>
  <c r="M48"/>
  <c r="D49"/>
  <c r="M49"/>
  <c r="D50"/>
  <c r="E50"/>
  <c r="M50"/>
  <c r="D51"/>
  <c r="M51"/>
  <c r="D52"/>
  <c r="M52"/>
  <c r="D53"/>
  <c r="M53"/>
  <c r="D54"/>
  <c r="M54"/>
  <c r="D55"/>
  <c r="M55"/>
  <c r="D56"/>
  <c r="M56"/>
  <c r="F57"/>
  <c r="O57"/>
  <c r="E69"/>
  <c r="G69"/>
  <c r="E70"/>
  <c r="G70"/>
  <c r="E71"/>
  <c r="G71"/>
  <c r="E72"/>
  <c r="G72"/>
  <c r="B73"/>
  <c r="C73"/>
  <c r="D73"/>
  <c r="F73"/>
  <c r="M45"/>
  <c r="M57"/>
  <c r="T21" i="18"/>
  <c r="E57" i="15"/>
  <c r="H57"/>
  <c r="D47"/>
  <c r="L28"/>
  <c r="N6"/>
  <c r="M18" i="18"/>
  <c r="M11" s="1"/>
  <c r="I18"/>
  <c r="I11" s="1"/>
  <c r="T9"/>
  <c r="T10" s="1"/>
  <c r="L26"/>
  <c r="M26" s="1"/>
  <c r="N26" s="1"/>
  <c r="O26" s="1"/>
  <c r="P26" s="1"/>
  <c r="AN33"/>
  <c r="T58"/>
  <c r="T59" s="1"/>
  <c r="E59" s="1"/>
  <c r="F59" s="1"/>
  <c r="G59" s="1"/>
  <c r="H59" s="1"/>
  <c r="I59" s="1"/>
  <c r="J59" s="1"/>
  <c r="K59" s="1"/>
  <c r="L59" s="1"/>
  <c r="M59" s="1"/>
  <c r="N59" s="1"/>
  <c r="O59" s="1"/>
  <c r="P59" s="1"/>
  <c r="N18"/>
  <c r="N11" s="1"/>
  <c r="Y21"/>
  <c r="AN21" s="1"/>
  <c r="Y23"/>
  <c r="Y24"/>
  <c r="AN24" s="1"/>
  <c r="Y22"/>
  <c r="AN38"/>
  <c r="AN41" s="1"/>
  <c r="X41"/>
  <c r="S99"/>
  <c r="S100" s="1"/>
  <c r="S25"/>
  <c r="E26" s="1"/>
  <c r="F26" s="1"/>
  <c r="G26" s="1"/>
  <c r="H26" s="1"/>
  <c r="I26" s="1"/>
  <c r="J26" s="1"/>
  <c r="T25"/>
  <c r="S33"/>
  <c r="S34" s="1"/>
  <c r="E34" s="1"/>
  <c r="F34" s="1"/>
  <c r="G34" s="1"/>
  <c r="H34" s="1"/>
  <c r="I34" s="1"/>
  <c r="J34" s="1"/>
  <c r="K34" s="1"/>
  <c r="L34" s="1"/>
  <c r="M34" s="1"/>
  <c r="N34" s="1"/>
  <c r="O34" s="1"/>
  <c r="P34" s="1"/>
  <c r="S42"/>
  <c r="S43" s="1"/>
  <c r="E43" s="1"/>
  <c r="F43" s="1"/>
  <c r="G43" s="1"/>
  <c r="H43" s="1"/>
  <c r="I43" s="1"/>
  <c r="J43" s="1"/>
  <c r="K43" s="1"/>
  <c r="L43" s="1"/>
  <c r="M43" s="1"/>
  <c r="N43" s="1"/>
  <c r="O43" s="1"/>
  <c r="P43" s="1"/>
  <c r="T50"/>
  <c r="P18"/>
  <c r="P11"/>
  <c r="L18"/>
  <c r="L11"/>
  <c r="O18"/>
  <c r="O11"/>
  <c r="G18"/>
  <c r="G11"/>
  <c r="J18"/>
  <c r="J11"/>
  <c r="F18"/>
  <c r="F11"/>
  <c r="AN22"/>
  <c r="Y25"/>
  <c r="N7" i="15"/>
  <c r="AN23" i="18"/>
  <c r="AO26" s="1"/>
  <c r="Z26" s="1"/>
  <c r="AA26" s="1"/>
  <c r="AB26" s="1"/>
  <c r="AC26" s="1"/>
  <c r="AD26" s="1"/>
  <c r="AE26" s="1"/>
  <c r="AF26" s="1"/>
  <c r="AG26" s="1"/>
  <c r="AH26" s="1"/>
  <c r="AI26" s="1"/>
  <c r="AJ26" s="1"/>
  <c r="AK26" s="1"/>
  <c r="Q57" i="15"/>
  <c r="N28"/>
  <c r="AP14" i="18"/>
  <c r="N10" i="15"/>
  <c r="N14"/>
  <c r="L7"/>
  <c r="P7"/>
  <c r="AP17" i="18"/>
  <c r="AP16"/>
  <c r="T103" l="1"/>
  <c r="T107" s="1"/>
  <c r="E100"/>
  <c r="F100" s="1"/>
  <c r="G100" s="1"/>
  <c r="H100" s="1"/>
  <c r="I100" s="1"/>
  <c r="J100" s="1"/>
  <c r="K100" s="1"/>
  <c r="L100" s="1"/>
  <c r="M100" s="1"/>
  <c r="N100" s="1"/>
  <c r="O100" s="1"/>
  <c r="P100" s="1"/>
  <c r="S75"/>
  <c r="S76" s="1"/>
  <c r="E76" s="1"/>
  <c r="F76" s="1"/>
  <c r="G76" s="1"/>
  <c r="H76" s="1"/>
  <c r="I76" s="1"/>
  <c r="J76" s="1"/>
  <c r="K76" s="1"/>
  <c r="L76" s="1"/>
  <c r="M76" s="1"/>
  <c r="N76" s="1"/>
  <c r="O76" s="1"/>
  <c r="P76" s="1"/>
  <c r="T90"/>
  <c r="T91"/>
  <c r="E84"/>
  <c r="F84" s="1"/>
  <c r="G84" s="1"/>
  <c r="H84" s="1"/>
  <c r="I84" s="1"/>
  <c r="J84" s="1"/>
  <c r="K84" s="1"/>
  <c r="L84" s="1"/>
  <c r="M84" s="1"/>
  <c r="N84" s="1"/>
  <c r="O84" s="1"/>
  <c r="P84" s="1"/>
  <c r="T33"/>
  <c r="T99"/>
  <c r="T75"/>
  <c r="AN25"/>
  <c r="AP18"/>
  <c r="AN10"/>
  <c r="AN108"/>
  <c r="AO38"/>
  <c r="AO41" s="1"/>
  <c r="AO42" s="1"/>
</calcChain>
</file>

<file path=xl/comments1.xml><?xml version="1.0" encoding="utf-8"?>
<comments xmlns="http://schemas.openxmlformats.org/spreadsheetml/2006/main">
  <authors>
    <author>nambos</author>
  </authors>
  <commentList>
    <comment ref="C66" authorId="0">
      <text>
        <r>
          <rPr>
            <b/>
            <sz val="9"/>
            <color indexed="81"/>
            <rFont val="Tahoma"/>
            <family val="2"/>
          </rPr>
          <t>nambos:</t>
        </r>
        <r>
          <rPr>
            <sz val="9"/>
            <color indexed="81"/>
            <rFont val="Tahoma"/>
            <family val="2"/>
          </rPr>
          <t xml:space="preserve">
ITPC-2 MAPX(1x1) - 67.2%
ITPC-11 CSP -    78.3%
Ave. - 71%</t>
        </r>
      </text>
    </comment>
  </commentList>
</comments>
</file>

<file path=xl/sharedStrings.xml><?xml version="1.0" encoding="utf-8"?>
<sst xmlns="http://schemas.openxmlformats.org/spreadsheetml/2006/main" count="851" uniqueCount="222">
  <si>
    <t>Implementation Items</t>
  </si>
  <si>
    <t>Deadline</t>
  </si>
  <si>
    <t>FT</t>
  </si>
  <si>
    <t>TP</t>
  </si>
  <si>
    <t>PLAN</t>
  </si>
  <si>
    <t>SINGULATION</t>
  </si>
  <si>
    <t>TE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</si>
  <si>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</si>
  <si>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</si>
  <si>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</si>
  <si>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</si>
  <si>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</si>
  <si>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</si>
  <si>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</si>
  <si>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</si>
  <si>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</si>
  <si>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</si>
  <si>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</si>
  <si>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</si>
  <si>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BM qty/day</t>
  </si>
  <si>
    <t>IFTN</t>
  </si>
  <si>
    <t>IFTZ</t>
  </si>
  <si>
    <t>EPSON</t>
  </si>
  <si>
    <t>ITPB-1</t>
  </si>
  <si>
    <t>ISMECA</t>
  </si>
  <si>
    <t>CI-T120</t>
  </si>
  <si>
    <t>ASM</t>
  </si>
  <si>
    <t>TOTAL</t>
  </si>
  <si>
    <t>BMK</t>
  </si>
  <si>
    <t>AQI Received</t>
  </si>
  <si>
    <t>TARGET</t>
  </si>
  <si>
    <t>OTHERS</t>
  </si>
  <si>
    <t>BM TIME</t>
  </si>
  <si>
    <t>BM TOTAL</t>
  </si>
  <si>
    <t>HANMI</t>
  </si>
  <si>
    <t>PICKER</t>
  </si>
  <si>
    <t>DICER</t>
  </si>
  <si>
    <t>BALL PLACER</t>
  </si>
  <si>
    <t>MOUNTER</t>
  </si>
  <si>
    <t>WASHER</t>
  </si>
  <si>
    <t>REFLOW</t>
  </si>
  <si>
    <t>Lendry</t>
  </si>
  <si>
    <t>Claim Received</t>
  </si>
  <si>
    <t>AQI</t>
  </si>
  <si>
    <t>CLAIM</t>
  </si>
  <si>
    <t>BM/mc</t>
  </si>
  <si>
    <t>yen/kpc</t>
  </si>
  <si>
    <t>REM</t>
  </si>
  <si>
    <t>RED</t>
  </si>
  <si>
    <t>OCT '16</t>
  </si>
  <si>
    <t>TP BM</t>
  </si>
  <si>
    <t>IMKB-1</t>
  </si>
  <si>
    <t>IMKA-1</t>
  </si>
  <si>
    <t>0 claim</t>
  </si>
  <si>
    <t>Sir Henry</t>
  </si>
  <si>
    <t>Mark</t>
  </si>
  <si>
    <t>AVERAGE</t>
  </si>
  <si>
    <t>In-charge</t>
  </si>
  <si>
    <t>Quality</t>
  </si>
  <si>
    <t>Productivity</t>
  </si>
  <si>
    <t>Cost</t>
  </si>
  <si>
    <t>MOTOR</t>
  </si>
  <si>
    <t>SLIDE</t>
  </si>
  <si>
    <t>M. ITEM (PUR)</t>
  </si>
  <si>
    <t>M. ITEM (FAB)</t>
  </si>
  <si>
    <t>FAB PARTS</t>
  </si>
  <si>
    <t>OFF SUPPLIES</t>
  </si>
  <si>
    <t>EVID MAKING</t>
  </si>
  <si>
    <t>HYDRAU</t>
  </si>
  <si>
    <t>REPAIR</t>
  </si>
  <si>
    <t>VL</t>
  </si>
  <si>
    <t>SL</t>
  </si>
  <si>
    <t>PL</t>
  </si>
  <si>
    <t>MAN</t>
  </si>
  <si>
    <t>RATE PER MAN</t>
  </si>
  <si>
    <t>FL</t>
  </si>
  <si>
    <t>Dec end</t>
  </si>
  <si>
    <t>Jun end</t>
  </si>
  <si>
    <t>Sep end</t>
  </si>
  <si>
    <t>Aug end</t>
  </si>
  <si>
    <t>Oct end</t>
  </si>
  <si>
    <t>May end</t>
  </si>
  <si>
    <t>Apr end</t>
  </si>
  <si>
    <t>TESEC</t>
  </si>
  <si>
    <t>UV</t>
  </si>
  <si>
    <t>LABELLER</t>
  </si>
  <si>
    <t xml:space="preserve">1. Installation of ITPB-1 hanuke/reverse check camera unit </t>
  </si>
  <si>
    <t>2. Revision of ITPB-1 stamp iron (change of stamp width)</t>
  </si>
  <si>
    <t>2. Localization of Hanmi jig table (refurbish)</t>
  </si>
  <si>
    <t>3. Passline check and adjustment of IMKB-1</t>
  </si>
  <si>
    <t>1. Declogging of Hanmi cutting water nozzle and joint fittings</t>
  </si>
  <si>
    <t>2. Re-alignment of Hanmi strip picker delivery to jig table</t>
  </si>
  <si>
    <t>5. Installation of additional TnR unit for ASM-02/03</t>
  </si>
  <si>
    <t>6. Purchase of additional ASM handler for 7mm and 8mm pkg</t>
  </si>
  <si>
    <t>2 AQI cases/mo</t>
  </si>
  <si>
    <t>Target Value (RED)</t>
  </si>
  <si>
    <t>1 AQI case/mo</t>
  </si>
  <si>
    <t>7. ISMECA vision system upgrade PC and NVCore version</t>
  </si>
  <si>
    <t>8. Installation of ITPB-1 ninshiki lens cover</t>
  </si>
  <si>
    <t>4. Ninshiki unit cleaning of Dicer (DFD6240/6340/ 6341)</t>
  </si>
  <si>
    <t>5. Ninshiki unit replacement of Dicer (DFD640/ 641)</t>
  </si>
  <si>
    <t>2018-2019 PM-TE MAP END IMPROVEMENT ACTIVITIES</t>
  </si>
  <si>
    <t>18 kyen/mo</t>
  </si>
  <si>
    <t>0.51 BM/day</t>
  </si>
  <si>
    <t>0.28 BM/day</t>
  </si>
  <si>
    <t>0.32 BM/day</t>
  </si>
  <si>
    <t>0.27 BM/day</t>
  </si>
  <si>
    <t>4. Cleaning and replacement of Dicer NCS prism and declogging of air blow nozzle</t>
  </si>
  <si>
    <t>3. Alignment of Picker ninshiki unit and passline unit</t>
  </si>
  <si>
    <t>2 BM/day</t>
  </si>
  <si>
    <t>77 kyen/mo</t>
  </si>
  <si>
    <t>33 kyen/mo</t>
  </si>
  <si>
    <t>Anton</t>
  </si>
  <si>
    <t>3 BM/day</t>
  </si>
  <si>
    <t>6. Installation of float work sensor on IFTZ unload tray</t>
  </si>
  <si>
    <t>Section</t>
  </si>
  <si>
    <t>3. Revision of ITPB-1 shutter close unit</t>
  </si>
  <si>
    <t>0.42 BM/day</t>
  </si>
  <si>
    <t>0.35 BM/day</t>
  </si>
  <si>
    <t>0.48 BM/day</t>
  </si>
  <si>
    <t>0.06 BM/day</t>
  </si>
  <si>
    <t>9. Provision of dark-colored acrylic machine front cover for ICOS</t>
  </si>
  <si>
    <t>10. BD64545MUV hardware and software revision for Test no.82</t>
  </si>
  <si>
    <t>11. BH1763NUC program revision on Test no.2999</t>
  </si>
  <si>
    <t>12. BM9192MWV (Auto 2) DUT board pattern design change</t>
  </si>
  <si>
    <t>13. Restoration of IFTZ load hand camera</t>
  </si>
  <si>
    <t>14. IFTN load pocket modification</t>
  </si>
  <si>
    <t>15. Upgrade IFTZ load and unload hand function through program revision</t>
  </si>
  <si>
    <t>7. Modification of IFTZ shuttle float work sensor holder (material change)</t>
  </si>
  <si>
    <t>BH1745NUC</t>
  </si>
  <si>
    <t>BD7764MUV</t>
  </si>
  <si>
    <t>BD64545MUV</t>
  </si>
  <si>
    <t>BUYD2206(8G9)</t>
  </si>
  <si>
    <t>BD9596BMWV</t>
  </si>
  <si>
    <t>BD64537AMUV</t>
  </si>
  <si>
    <t>BD920003MWV</t>
  </si>
  <si>
    <t>BH1763NUC</t>
  </si>
  <si>
    <t>BU76312GUW</t>
  </si>
  <si>
    <t>BM9192MWV</t>
  </si>
  <si>
    <t>0.40 BM/day</t>
  </si>
  <si>
    <t>PNUE</t>
  </si>
  <si>
    <t>ELEC 1</t>
  </si>
  <si>
    <t>ELEC 2</t>
  </si>
  <si>
    <t>SLIDING</t>
  </si>
  <si>
    <t>UV LAMP</t>
  </si>
  <si>
    <t>MAKER</t>
  </si>
  <si>
    <t>40 kyen/mo</t>
  </si>
  <si>
    <t>1.88 kyen/mo</t>
  </si>
  <si>
    <t>1. Localization of Dicer chuck table (refurbish)</t>
  </si>
  <si>
    <t>74.25 kyen/mo</t>
  </si>
  <si>
    <t>83.85 kyen/mo</t>
  </si>
  <si>
    <t>13.82 kyen/mo</t>
  </si>
  <si>
    <t>4. Repair of Dicer pack driver</t>
  </si>
  <si>
    <t>39.10 kyen/mo</t>
  </si>
  <si>
    <t>85.01 kyen/mo</t>
  </si>
  <si>
    <t>5. Repair of Dicer motor controller board</t>
  </si>
  <si>
    <t>6. Adjustment of turret pick-up collet parameter of Tesec</t>
  </si>
  <si>
    <t>7. Localization of IFTZ load hand collet</t>
  </si>
  <si>
    <t>9. In-house repair of ASM tray indexer motor</t>
  </si>
  <si>
    <t>10. Repair of ITPB-1 LED ring light</t>
  </si>
  <si>
    <t>8. Repair of obsolete IFTN tray carrier driver</t>
  </si>
  <si>
    <t xml:space="preserve"> 11. Harnessing of ITPB-1 camera cable and installation of cover on lens</t>
  </si>
  <si>
    <t>27 kyen/mo</t>
  </si>
  <si>
    <t>PM-TAPING CONTROL INDECES</t>
  </si>
  <si>
    <t>LSI 1</t>
  </si>
  <si>
    <t>LSI 2 1F</t>
  </si>
  <si>
    <t>LSI 2 3F</t>
  </si>
  <si>
    <t>LSI 3</t>
  </si>
  <si>
    <t>BM time/day (hrs)</t>
  </si>
  <si>
    <t>TT-300 (LSI 1)</t>
  </si>
  <si>
    <t>TT-300 (LSI 2 1F)</t>
  </si>
  <si>
    <t>ITPA-1</t>
  </si>
  <si>
    <t>TWA</t>
  </si>
  <si>
    <t>UENO</t>
  </si>
  <si>
    <t>ITPC-2</t>
  </si>
  <si>
    <t>MTBA (mins)</t>
  </si>
  <si>
    <t>MTTR (mins)</t>
  </si>
  <si>
    <t>WAITING TIME</t>
  </si>
  <si>
    <t>BMK MTTR</t>
  </si>
  <si>
    <t>PLAN MTTR</t>
  </si>
  <si>
    <t>BMK WT</t>
  </si>
  <si>
    <t>ALARM (kpcs)</t>
  </si>
  <si>
    <t>BMK MTBA</t>
  </si>
  <si>
    <t>PLAN MTBA</t>
  </si>
  <si>
    <t>BMK ALARM</t>
  </si>
  <si>
    <t>LSI 2 1F-2F</t>
  </si>
  <si>
    <t>Periodic Inspection</t>
  </si>
  <si>
    <t>MTTR</t>
  </si>
  <si>
    <t>ATTENDANCE RATE</t>
  </si>
  <si>
    <t>ISIP</t>
  </si>
  <si>
    <t>VOG</t>
  </si>
  <si>
    <t>PM-CM</t>
  </si>
  <si>
    <t>kyen</t>
  </si>
  <si>
    <t>TRC Issued</t>
  </si>
  <si>
    <t>TRC</t>
  </si>
  <si>
    <t>Operation Rate (Main)</t>
  </si>
  <si>
    <t>COMPLIANCE RATE</t>
  </si>
  <si>
    <t>Defect rate</t>
  </si>
  <si>
    <t>LSI 3 (MAPX)</t>
  </si>
  <si>
    <t>ACCUMULATIVE</t>
  </si>
  <si>
    <t>DEFECT RATE</t>
  </si>
  <si>
    <t>Hiyari Hatto</t>
  </si>
  <si>
    <t>HIV</t>
  </si>
  <si>
    <t>LONG TIME BM</t>
  </si>
  <si>
    <t>SKILL LEVEL</t>
  </si>
  <si>
    <t>BEGINNER</t>
  </si>
  <si>
    <t>JUNIOR</t>
  </si>
  <si>
    <t>SENIOR</t>
  </si>
  <si>
    <t>SPECIALIST</t>
  </si>
  <si>
    <t>SKILL LEVEL RATE</t>
  </si>
  <si>
    <t>RDOT PER MAN</t>
  </si>
  <si>
    <t>RE-OCCURRING BM</t>
  </si>
  <si>
    <t>QUALITY</t>
  </si>
  <si>
    <t>COST</t>
  </si>
  <si>
    <t>DELIVERY</t>
  </si>
  <si>
    <t>MORALE</t>
  </si>
  <si>
    <t>TARGET (SENIOR ONLY)</t>
  </si>
  <si>
    <t>HTSSOP-B24 (LSI 1)</t>
  </si>
  <si>
    <t>SSOP-5 (LSI 2 1F)</t>
  </si>
  <si>
    <t>UQFN68V8080 (LSI 2 3F)</t>
  </si>
  <si>
    <t>MAP-X (LSI 3)</t>
  </si>
  <si>
    <t>QUALITY ISSUE BM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</si>
</sst>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0.00000000000000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ahoma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64" fontId="6" fillId="0" borderId="1" xfId="0" applyNumberFormat="1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3" borderId="0" xfId="0" applyNumberFormat="1" applyFill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0" fontId="10" fillId="3" borderId="0" xfId="0" applyNumberFormat="1" applyFont="1" applyFill="1"/>
    <xf numFmtId="2" fontId="0" fillId="3" borderId="0" xfId="0" applyNumberFormat="1" applyFill="1"/>
    <xf numFmtId="2" fontId="0" fillId="0" borderId="0" xfId="0" applyNumberFormat="1" applyFill="1"/>
    <xf numFmtId="0" fontId="0" fillId="0" borderId="1" xfId="0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2" fontId="6" fillId="0" borderId="0" xfId="0" applyNumberFormat="1" applyFont="1" applyAlignment="1">
      <alignment horizontal="center" vertical="center"/>
    </xf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LSI 1 Defect Rate Transition</a:t>
            </a:r>
          </a:p>
        </c:rich>
      </c:tx>
      <c:layout>
        <c:manualLayout>
          <c:xMode val="edge"/>
          <c:yMode val="edge"/>
          <c:x val="4.2614456976661733E-2"/>
          <c:y val="2.777802774653168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1682695197451464E-2"/>
          <c:y val="0.17661162146398368"/>
          <c:w val="0.95220091763338999"/>
          <c:h val="0.68811060075823849"/>
        </c:manualLayout>
      </c:layout>
      <c:barChart>
        <c:barDir val="col"/>
        <c:grouping val="clustered"/>
        <c:ser>
          <c:idx val="0"/>
          <c:order val="0"/>
          <c:tx>
            <c:strRef>
              <c:f>INDICES!$A$54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dLbls>
            <c:spPr>
              <a:noFill/>
              <a:ln w="25400">
                <a:noFill/>
              </a:ln>
            </c:sp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INDICES!$B$13:$P$13</c:f>
            </c:multiLvlStrRef>
          </c:cat>
          <c:val>
            <c:numRef>
              <c:f>INDICES!$B$54:$P$54</c:f>
              <c:numCache>
                <c:formatCode>0.00%</c:formatCode>
                <c:ptCount val="15"/>
                <c:pt idx="0">
                  <c:v>2.6213731373409726E-4</c:v>
                </c:pt>
                <c:pt idx="1">
                  <c:v>5.807051904040565E-4</c:v>
                </c:pt>
                <c:pt idx="2">
                  <c:v>0</c:v>
                </c:pt>
              </c:numCache>
            </c:numRef>
          </c:val>
        </c:ser>
        <c:gapWidth val="50"/>
        <c:axId val="84485248"/>
        <c:axId val="84486784"/>
      </c:barChart>
      <c:lineChart>
        <c:grouping val="standard"/>
        <c:ser>
          <c:idx val="4"/>
          <c:order val="1"/>
          <c:tx>
            <c:strRef>
              <c:f>INDICES!$A$59</c:f>
              <c:strCache>
                <c:ptCount val="1"/>
                <c:pt idx="0">
                  <c:v>TARGET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INDICES!$B$53:$P$53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INDICES!$B$59:$P$59</c:f>
              <c:numCache>
                <c:formatCode>0.00%</c:formatCode>
                <c:ptCount val="15"/>
                <c:pt idx="3">
                  <c:v>1.3520895422717604E-2</c:v>
                </c:pt>
                <c:pt idx="4">
                  <c:v>1.3520895422717604E-2</c:v>
                </c:pt>
                <c:pt idx="5">
                  <c:v>1.3520895422717604E-2</c:v>
                </c:pt>
                <c:pt idx="6">
                  <c:v>1.3039645422717605E-2</c:v>
                </c:pt>
                <c:pt idx="7">
                  <c:v>1.3039645422717605E-2</c:v>
                </c:pt>
                <c:pt idx="8">
                  <c:v>1.3039645422717605E-2</c:v>
                </c:pt>
                <c:pt idx="9">
                  <c:v>1.2558395422717606E-2</c:v>
                </c:pt>
                <c:pt idx="10">
                  <c:v>1.2558395422717606E-2</c:v>
                </c:pt>
                <c:pt idx="11">
                  <c:v>1.2558395422717606E-2</c:v>
                </c:pt>
                <c:pt idx="12">
                  <c:v>1.2077145422717607E-2</c:v>
                </c:pt>
                <c:pt idx="13">
                  <c:v>1.2077145422717607E-2</c:v>
                </c:pt>
                <c:pt idx="14">
                  <c:v>1.2077145422717607E-2</c:v>
                </c:pt>
              </c:numCache>
            </c:numRef>
          </c:val>
        </c:ser>
        <c:marker val="1"/>
        <c:axId val="84485248"/>
        <c:axId val="84486784"/>
      </c:lineChart>
      <c:catAx>
        <c:axId val="844852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4486784"/>
        <c:crosses val="autoZero"/>
        <c:auto val="1"/>
        <c:lblAlgn val="ctr"/>
        <c:lblOffset val="100"/>
      </c:catAx>
      <c:valAx>
        <c:axId val="84486784"/>
        <c:scaling>
          <c:orientation val="minMax"/>
          <c:max val="8.0000000000000043E-2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4485248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7344084918028236"/>
          <c:y val="3.1035586656061612E-2"/>
          <c:w val="0.16607345456334641"/>
          <c:h val="8.2761564416164279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1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LSI 2 1F Defect Rate Transition</a:t>
            </a:r>
          </a:p>
        </c:rich>
      </c:tx>
      <c:layout>
        <c:manualLayout>
          <c:xMode val="edge"/>
          <c:yMode val="edge"/>
          <c:x val="4.2614456976661733E-2"/>
          <c:y val="2.777779865822269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1682695197451464E-2"/>
          <c:y val="0.17661162146398368"/>
          <c:w val="0.95220091763338999"/>
          <c:h val="0.68811060075823849"/>
        </c:manualLayout>
      </c:layout>
      <c:barChart>
        <c:barDir val="col"/>
        <c:grouping val="clustered"/>
        <c:ser>
          <c:idx val="1"/>
          <c:order val="0"/>
          <c:tx>
            <c:strRef>
              <c:f>INDICES!$A$55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dLbls>
            <c:spPr>
              <a:noFill/>
              <a:ln w="25400">
                <a:noFill/>
              </a:ln>
            </c:sp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INDICES!$B$13:$P$13</c:f>
            </c:multiLvlStrRef>
          </c:cat>
          <c:val>
            <c:numRef>
              <c:f>INDICES!$B$55:$P$55</c:f>
              <c:numCache>
                <c:formatCode>0.00%</c:formatCode>
                <c:ptCount val="15"/>
                <c:pt idx="0">
                  <c:v>1.124879993761981E-2</c:v>
                </c:pt>
                <c:pt idx="1">
                  <c:v>1.475274353274387E-2</c:v>
                </c:pt>
                <c:pt idx="2">
                  <c:v>0</c:v>
                </c:pt>
              </c:numCache>
            </c:numRef>
          </c:val>
        </c:ser>
        <c:gapWidth val="50"/>
        <c:axId val="84754432"/>
        <c:axId val="84755968"/>
      </c:barChart>
      <c:lineChart>
        <c:grouping val="standard"/>
        <c:ser>
          <c:idx val="4"/>
          <c:order val="1"/>
          <c:tx>
            <c:strRef>
              <c:f>INDICES!$A$59</c:f>
              <c:strCache>
                <c:ptCount val="1"/>
                <c:pt idx="0">
                  <c:v>TARGET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INDICES!$B$53:$P$53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INDICES!$B$59:$P$59</c:f>
              <c:numCache>
                <c:formatCode>0.00%</c:formatCode>
                <c:ptCount val="15"/>
                <c:pt idx="3">
                  <c:v>1.3520895422717604E-2</c:v>
                </c:pt>
                <c:pt idx="4">
                  <c:v>1.3520895422717604E-2</c:v>
                </c:pt>
                <c:pt idx="5">
                  <c:v>1.3520895422717604E-2</c:v>
                </c:pt>
                <c:pt idx="6">
                  <c:v>1.3039645422717605E-2</c:v>
                </c:pt>
                <c:pt idx="7">
                  <c:v>1.3039645422717605E-2</c:v>
                </c:pt>
                <c:pt idx="8">
                  <c:v>1.3039645422717605E-2</c:v>
                </c:pt>
                <c:pt idx="9">
                  <c:v>1.2558395422717606E-2</c:v>
                </c:pt>
                <c:pt idx="10">
                  <c:v>1.2558395422717606E-2</c:v>
                </c:pt>
                <c:pt idx="11">
                  <c:v>1.2558395422717606E-2</c:v>
                </c:pt>
                <c:pt idx="12">
                  <c:v>1.2077145422717607E-2</c:v>
                </c:pt>
                <c:pt idx="13">
                  <c:v>1.2077145422717607E-2</c:v>
                </c:pt>
                <c:pt idx="14">
                  <c:v>1.2077145422717607E-2</c:v>
                </c:pt>
              </c:numCache>
            </c:numRef>
          </c:val>
        </c:ser>
        <c:marker val="1"/>
        <c:axId val="84754432"/>
        <c:axId val="84755968"/>
      </c:lineChart>
      <c:catAx>
        <c:axId val="8475443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4755968"/>
        <c:crosses val="autoZero"/>
        <c:auto val="1"/>
        <c:lblAlgn val="ctr"/>
        <c:lblOffset val="100"/>
      </c:catAx>
      <c:valAx>
        <c:axId val="84755968"/>
        <c:scaling>
          <c:orientation val="minMax"/>
          <c:max val="8.0000000000000043E-2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4754432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6985007178431845"/>
          <c:y val="3.1142872630939452E-2"/>
          <c:w val="0.20108353417399771"/>
          <c:h val="8.3047660349171798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1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LSI 2 3F Defect Rate Transition</a:t>
            </a:r>
          </a:p>
        </c:rich>
      </c:tx>
      <c:layout>
        <c:manualLayout>
          <c:xMode val="edge"/>
          <c:yMode val="edge"/>
          <c:x val="4.2614456976661733E-2"/>
          <c:y val="2.777802774653168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1682695197451464E-2"/>
          <c:y val="0.17661162146398368"/>
          <c:w val="0.95220091763338999"/>
          <c:h val="0.68811060075823849"/>
        </c:manualLayout>
      </c:layout>
      <c:barChart>
        <c:barDir val="col"/>
        <c:grouping val="clustered"/>
        <c:ser>
          <c:idx val="2"/>
          <c:order val="0"/>
          <c:tx>
            <c:strRef>
              <c:f>INDICES!$A$56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dLbls>
            <c:spPr>
              <a:noFill/>
              <a:ln w="25400">
                <a:noFill/>
              </a:ln>
            </c:sp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INDICES!$B$13:$P$13</c:f>
            </c:multiLvlStrRef>
          </c:cat>
          <c:val>
            <c:numRef>
              <c:f>INDICES!$B$56:$P$56</c:f>
              <c:numCache>
                <c:formatCode>0.00%</c:formatCode>
                <c:ptCount val="15"/>
                <c:pt idx="0">
                  <c:v>2.3514371059442808E-2</c:v>
                </c:pt>
                <c:pt idx="1">
                  <c:v>1.7601806269902563E-2</c:v>
                </c:pt>
                <c:pt idx="2">
                  <c:v>0</c:v>
                </c:pt>
              </c:numCache>
            </c:numRef>
          </c:val>
        </c:ser>
        <c:gapWidth val="50"/>
        <c:axId val="104024704"/>
        <c:axId val="107417984"/>
      </c:barChart>
      <c:lineChart>
        <c:grouping val="standard"/>
        <c:ser>
          <c:idx val="4"/>
          <c:order val="1"/>
          <c:tx>
            <c:strRef>
              <c:f>INDICES!$A$59</c:f>
              <c:strCache>
                <c:ptCount val="1"/>
                <c:pt idx="0">
                  <c:v>TARGET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INDICES!$B$53:$P$53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INDICES!$B$59:$P$59</c:f>
              <c:numCache>
                <c:formatCode>0.00%</c:formatCode>
                <c:ptCount val="15"/>
                <c:pt idx="3">
                  <c:v>1.3520895422717604E-2</c:v>
                </c:pt>
                <c:pt idx="4">
                  <c:v>1.3520895422717604E-2</c:v>
                </c:pt>
                <c:pt idx="5">
                  <c:v>1.3520895422717604E-2</c:v>
                </c:pt>
                <c:pt idx="6">
                  <c:v>1.3039645422717605E-2</c:v>
                </c:pt>
                <c:pt idx="7">
                  <c:v>1.3039645422717605E-2</c:v>
                </c:pt>
                <c:pt idx="8">
                  <c:v>1.3039645422717605E-2</c:v>
                </c:pt>
                <c:pt idx="9">
                  <c:v>1.2558395422717606E-2</c:v>
                </c:pt>
                <c:pt idx="10">
                  <c:v>1.2558395422717606E-2</c:v>
                </c:pt>
                <c:pt idx="11">
                  <c:v>1.2558395422717606E-2</c:v>
                </c:pt>
                <c:pt idx="12">
                  <c:v>1.2077145422717607E-2</c:v>
                </c:pt>
                <c:pt idx="13">
                  <c:v>1.2077145422717607E-2</c:v>
                </c:pt>
                <c:pt idx="14">
                  <c:v>1.2077145422717607E-2</c:v>
                </c:pt>
              </c:numCache>
            </c:numRef>
          </c:val>
        </c:ser>
        <c:marker val="1"/>
        <c:axId val="104024704"/>
        <c:axId val="107417984"/>
      </c:lineChart>
      <c:catAx>
        <c:axId val="10402470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7417984"/>
        <c:crosses val="autoZero"/>
        <c:auto val="1"/>
        <c:lblAlgn val="ctr"/>
        <c:lblOffset val="100"/>
      </c:catAx>
      <c:valAx>
        <c:axId val="107417984"/>
        <c:scaling>
          <c:orientation val="minMax"/>
          <c:max val="8.0000000000000043E-2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4024704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7074776613330818"/>
          <c:y val="3.1142872630939452E-2"/>
          <c:w val="0.18223195284518579"/>
          <c:h val="7.6127021986740914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1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LSI 3 Defect Rate Transition</a:t>
            </a:r>
          </a:p>
        </c:rich>
      </c:tx>
      <c:layout>
        <c:manualLayout>
          <c:xMode val="edge"/>
          <c:yMode val="edge"/>
          <c:x val="4.2614456976661733E-2"/>
          <c:y val="2.777779865822269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1682695197451464E-2"/>
          <c:y val="0.17661162146398368"/>
          <c:w val="0.95220091763338999"/>
          <c:h val="0.68811060075823849"/>
        </c:manualLayout>
      </c:layout>
      <c:barChart>
        <c:barDir val="col"/>
        <c:grouping val="clustered"/>
        <c:ser>
          <c:idx val="3"/>
          <c:order val="0"/>
          <c:tx>
            <c:strRef>
              <c:f>INDICES!$A$57</c:f>
              <c:strCache>
                <c:ptCount val="1"/>
                <c:pt idx="0">
                  <c:v>LSI 3 (MAPX)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dLbls>
            <c:spPr>
              <a:noFill/>
              <a:ln w="25400">
                <a:noFill/>
              </a:ln>
            </c:sp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INDICES!$B$13:$P$13</c:f>
            </c:multiLvlStrRef>
          </c:cat>
          <c:val>
            <c:numRef>
              <c:f>INDICES!$B$57:$P$57</c:f>
              <c:numCache>
                <c:formatCode>0.00%</c:formatCode>
                <c:ptCount val="15"/>
                <c:pt idx="0">
                  <c:v>3.8883520543910297E-2</c:v>
                </c:pt>
                <c:pt idx="1">
                  <c:v>2.3073326697819925E-2</c:v>
                </c:pt>
                <c:pt idx="2">
                  <c:v>0</c:v>
                </c:pt>
              </c:numCache>
            </c:numRef>
          </c:val>
        </c:ser>
        <c:gapWidth val="50"/>
        <c:axId val="108664320"/>
        <c:axId val="108665856"/>
      </c:barChart>
      <c:lineChart>
        <c:grouping val="standard"/>
        <c:ser>
          <c:idx val="4"/>
          <c:order val="1"/>
          <c:tx>
            <c:strRef>
              <c:f>INDICES!$A$59</c:f>
              <c:strCache>
                <c:ptCount val="1"/>
                <c:pt idx="0">
                  <c:v>TARGET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INDICES!$B$53:$P$53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INDICES!$B$59:$P$59</c:f>
              <c:numCache>
                <c:formatCode>0.00%</c:formatCode>
                <c:ptCount val="15"/>
                <c:pt idx="3">
                  <c:v>1.3520895422717604E-2</c:v>
                </c:pt>
                <c:pt idx="4">
                  <c:v>1.3520895422717604E-2</c:v>
                </c:pt>
                <c:pt idx="5">
                  <c:v>1.3520895422717604E-2</c:v>
                </c:pt>
                <c:pt idx="6">
                  <c:v>1.3039645422717605E-2</c:v>
                </c:pt>
                <c:pt idx="7">
                  <c:v>1.3039645422717605E-2</c:v>
                </c:pt>
                <c:pt idx="8">
                  <c:v>1.3039645422717605E-2</c:v>
                </c:pt>
                <c:pt idx="9">
                  <c:v>1.2558395422717606E-2</c:v>
                </c:pt>
                <c:pt idx="10">
                  <c:v>1.2558395422717606E-2</c:v>
                </c:pt>
                <c:pt idx="11">
                  <c:v>1.2558395422717606E-2</c:v>
                </c:pt>
                <c:pt idx="12">
                  <c:v>1.2077145422717607E-2</c:v>
                </c:pt>
                <c:pt idx="13">
                  <c:v>1.2077145422717607E-2</c:v>
                </c:pt>
                <c:pt idx="14">
                  <c:v>1.2077145422717607E-2</c:v>
                </c:pt>
              </c:numCache>
            </c:numRef>
          </c:val>
        </c:ser>
        <c:marker val="1"/>
        <c:axId val="108664320"/>
        <c:axId val="108665856"/>
      </c:lineChart>
      <c:catAx>
        <c:axId val="10866432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665856"/>
        <c:crosses val="autoZero"/>
        <c:auto val="1"/>
        <c:lblAlgn val="ctr"/>
        <c:lblOffset val="100"/>
      </c:catAx>
      <c:valAx>
        <c:axId val="108665856"/>
        <c:scaling>
          <c:orientation val="minMax"/>
          <c:max val="8.0000000000000043E-2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664320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6985007178431845"/>
          <c:y val="3.1142872630939452E-2"/>
          <c:w val="0.20916278331491719"/>
          <c:h val="7.6127021986740914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1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Claim Transition</a:t>
            </a:r>
          </a:p>
        </c:rich>
      </c:tx>
      <c:layout>
        <c:manualLayout>
          <c:xMode val="edge"/>
          <c:yMode val="edge"/>
          <c:x val="4.2614427001459315E-2"/>
          <c:y val="2.77779452209623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1682695197451464E-2"/>
          <c:y val="0.18582711047030157"/>
          <c:w val="0.92876406119982413"/>
          <c:h val="0.6788951881444053"/>
        </c:manualLayout>
      </c:layout>
      <c:barChart>
        <c:barDir val="col"/>
        <c:grouping val="stacked"/>
        <c:ser>
          <c:idx val="0"/>
          <c:order val="0"/>
          <c:tx>
            <c:strRef>
              <c:f>INDICES!$A$5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INDICES!$B$4:$P$4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INDICES!$B$5:$P$5</c:f>
              <c:numCache>
                <c:formatCode>0.00</c:formatCode>
                <c:ptCount val="15"/>
                <c:pt idx="0">
                  <c:v>0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INDICES!$A$6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INDICES!$B$4:$P$4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INDICES!$B$6:$P$6</c:f>
              <c:numCache>
                <c:formatCode>0.00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INDICES!$A$7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INDICES!$B$4:$P$4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INDICES!$B$7:$P$7</c:f>
              <c:numCache>
                <c:formatCode>0.00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3"/>
          <c:order val="3"/>
          <c:tx>
            <c:strRef>
              <c:f>INDICES!$A$8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INDICES!$B$4:$P$4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INDICES!$B$8:$P$8</c:f>
              <c:numCache>
                <c:formatCode>0.00</c:formatCode>
                <c:ptCount val="15"/>
                <c:pt idx="0">
                  <c:v>6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50"/>
        <c:overlap val="100"/>
        <c:axId val="111886720"/>
        <c:axId val="111888256"/>
      </c:barChart>
      <c:lineChart>
        <c:grouping val="standard"/>
        <c:ser>
          <c:idx val="4"/>
          <c:order val="4"/>
          <c:tx>
            <c:strRef>
              <c:f>INDICES!$A$10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INDICES!$B$4:$P$4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INDICES!$B$10:$P$10</c:f>
              <c:numCache>
                <c:formatCode>0</c:formatCode>
                <c:ptCount val="15"/>
                <c:pt idx="1">
                  <c:v>8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</c:ser>
        <c:ser>
          <c:idx val="5"/>
          <c:order val="5"/>
          <c:tx>
            <c:strRef>
              <c:f>INDICES!$A$11</c:f>
              <c:strCache>
                <c:ptCount val="1"/>
                <c:pt idx="0">
                  <c:v>ACCUMULATIVE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INDICES!$B$4:$P$4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INDICES!$B$11:$P$11</c:f>
              <c:numCache>
                <c:formatCode>0.0</c:formatCode>
                <c:ptCount val="15"/>
                <c:pt idx="0">
                  <c:v>9</c:v>
                </c:pt>
                <c:pt idx="1">
                  <c:v>21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marker val="1"/>
        <c:axId val="111886720"/>
        <c:axId val="111888256"/>
      </c:lineChart>
      <c:catAx>
        <c:axId val="11188672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1888256"/>
        <c:crosses val="autoZero"/>
        <c:auto val="1"/>
        <c:lblAlgn val="ctr"/>
        <c:lblOffset val="100"/>
      </c:catAx>
      <c:valAx>
        <c:axId val="111888256"/>
        <c:scaling>
          <c:orientation val="minMax"/>
          <c:max val="25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1886720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8264673085387632"/>
          <c:y val="3.4966169206892828E-2"/>
          <c:w val="0.71200057438905062"/>
          <c:h val="8.391880609654309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AQI Transition</a:t>
            </a:r>
          </a:p>
        </c:rich>
      </c:tx>
      <c:layout>
        <c:manualLayout>
          <c:xMode val="edge"/>
          <c:yMode val="edge"/>
          <c:x val="4.261456798652196E-2"/>
          <c:y val="2.777802774653168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1682695197451464E-2"/>
          <c:y val="0.17661162146398368"/>
          <c:w val="0.94132697199456949"/>
          <c:h val="0.68811060075823849"/>
        </c:manualLayout>
      </c:layout>
      <c:barChart>
        <c:barDir val="col"/>
        <c:grouping val="stacked"/>
        <c:ser>
          <c:idx val="0"/>
          <c:order val="0"/>
          <c:tx>
            <c:strRef>
              <c:f>INDICES!$A$21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INDICES!$B$20:$P$20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INDICES!$B$21:$P$21</c:f>
              <c:numCache>
                <c:formatCode>0.0</c:formatCode>
                <c:ptCount val="15"/>
                <c:pt idx="0">
                  <c:v>0.53</c:v>
                </c:pt>
                <c:pt idx="1">
                  <c:v>0.58333333333333337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INDICES!$A$22</c:f>
              <c:strCache>
                <c:ptCount val="1"/>
                <c:pt idx="0">
                  <c:v>LSI 2 1F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INDICES!$B$20:$P$20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INDICES!$B$22:$P$22</c:f>
              <c:numCache>
                <c:formatCode>0.0</c:formatCode>
                <c:ptCount val="15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INDICES!$A$23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INDICES!$B$20:$P$20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INDICES!$B$23:$P$23</c:f>
              <c:numCache>
                <c:formatCode>0.0</c:formatCode>
                <c:ptCount val="15"/>
                <c:pt idx="0">
                  <c:v>0.55555555555555558</c:v>
                </c:pt>
                <c:pt idx="1">
                  <c:v>8.3333333333333329E-2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INDICES!$A$24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INDICES!$B$20:$P$20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INDICES!$B$24:$P$24</c:f>
              <c:numCache>
                <c:formatCode>0.0</c:formatCode>
                <c:ptCount val="15"/>
                <c:pt idx="0">
                  <c:v>1.2</c:v>
                </c:pt>
                <c:pt idx="1">
                  <c:v>1.6666666666666667</c:v>
                </c:pt>
                <c:pt idx="2">
                  <c:v>0</c:v>
                </c:pt>
              </c:numCache>
            </c:numRef>
          </c:val>
        </c:ser>
        <c:gapWidth val="50"/>
        <c:overlap val="100"/>
        <c:axId val="111948928"/>
        <c:axId val="111950464"/>
      </c:barChart>
      <c:lineChart>
        <c:grouping val="standard"/>
        <c:ser>
          <c:idx val="4"/>
          <c:order val="4"/>
          <c:tx>
            <c:strRef>
              <c:f>INDICES!$A$26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multiLvlStrRef>
              <c:f>INDICES!$B$13:$P$13</c:f>
            </c:multiLvlStrRef>
          </c:cat>
          <c:val>
            <c:numRef>
              <c:f>INDICES!$B$26:$P$26</c:f>
              <c:numCache>
                <c:formatCode>0.0</c:formatCode>
                <c:ptCount val="15"/>
                <c:pt idx="1">
                  <c:v>1.9998611111111113</c:v>
                </c:pt>
                <c:pt idx="3">
                  <c:v>1.3333333333333335</c:v>
                </c:pt>
                <c:pt idx="4">
                  <c:v>1.3333333333333335</c:v>
                </c:pt>
                <c:pt idx="5">
                  <c:v>1.3333333333333335</c:v>
                </c:pt>
                <c:pt idx="6">
                  <c:v>1.3333333333333335</c:v>
                </c:pt>
                <c:pt idx="7">
                  <c:v>1.3333333333333335</c:v>
                </c:pt>
                <c:pt idx="8">
                  <c:v>1.3333333333333335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marker val="1"/>
        <c:axId val="111948928"/>
        <c:axId val="111950464"/>
      </c:lineChart>
      <c:catAx>
        <c:axId val="11194892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1950464"/>
        <c:crosses val="autoZero"/>
        <c:auto val="1"/>
        <c:lblAlgn val="ctr"/>
        <c:lblOffset val="100"/>
      </c:catAx>
      <c:valAx>
        <c:axId val="111950464"/>
        <c:scaling>
          <c:orientation val="minMax"/>
          <c:max val="5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1948928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916676127546585"/>
          <c:y val="3.8328699907104594E-2"/>
          <c:w val="0.6029796924882731"/>
          <c:h val="8.362625434277397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Monthly TRC Transition</a:t>
            </a:r>
          </a:p>
        </c:rich>
      </c:tx>
      <c:layout>
        <c:manualLayout>
          <c:xMode val="edge"/>
          <c:yMode val="edge"/>
          <c:x val="4.261456798652196E-2"/>
          <c:y val="2.777756847379730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1368333669647314E-2"/>
          <c:y val="0.18121930822299331"/>
          <c:w val="0.93146825062760952"/>
          <c:h val="0.68350303947232349"/>
        </c:manualLayout>
      </c:layout>
      <c:barChart>
        <c:barDir val="col"/>
        <c:grouping val="stacked"/>
        <c:ser>
          <c:idx val="0"/>
          <c:order val="0"/>
          <c:tx>
            <c:strRef>
              <c:f>INDICES!$A$29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INDICES!$B$28:$P$28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INDICES!$B$29:$P$29</c:f>
              <c:numCache>
                <c:formatCode>0.0</c:formatCode>
                <c:ptCount val="15"/>
                <c:pt idx="0">
                  <c:v>448</c:v>
                </c:pt>
                <c:pt idx="1">
                  <c:v>426.58333333333331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INDICES!$A$30</c:f>
              <c:strCache>
                <c:ptCount val="1"/>
                <c:pt idx="0">
                  <c:v>LSI 2 1F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INDICES!$B$28:$P$28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INDICES!$B$30:$P$30</c:f>
              <c:numCache>
                <c:formatCode>0.0</c:formatCode>
                <c:ptCount val="15"/>
                <c:pt idx="0">
                  <c:v>234</c:v>
                </c:pt>
                <c:pt idx="1">
                  <c:v>179.91666666666666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INDICES!$A$31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INDICES!$B$28:$P$28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INDICES!$B$31:$P$31</c:f>
              <c:numCache>
                <c:formatCode>0.0</c:formatCode>
                <c:ptCount val="15"/>
                <c:pt idx="0">
                  <c:v>270</c:v>
                </c:pt>
                <c:pt idx="1">
                  <c:v>256.33333333333331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INDICES!$A$32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INDICES!$B$28:$P$28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INDICES!$B$32:$P$32</c:f>
              <c:numCache>
                <c:formatCode>0.0</c:formatCode>
                <c:ptCount val="15"/>
                <c:pt idx="0">
                  <c:v>157.6</c:v>
                </c:pt>
                <c:pt idx="1">
                  <c:v>264.58333333333331</c:v>
                </c:pt>
                <c:pt idx="2">
                  <c:v>0</c:v>
                </c:pt>
              </c:numCache>
            </c:numRef>
          </c:val>
        </c:ser>
        <c:gapWidth val="50"/>
        <c:overlap val="100"/>
        <c:axId val="145098624"/>
        <c:axId val="145100160"/>
      </c:barChart>
      <c:lineChart>
        <c:grouping val="standard"/>
        <c:ser>
          <c:idx val="4"/>
          <c:order val="4"/>
          <c:tx>
            <c:strRef>
              <c:f>INDICES!$A$34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multiLvlStrRef>
              <c:f>INDICES!$B$13:$P$13</c:f>
            </c:multiLvlStrRef>
          </c:cat>
          <c:val>
            <c:numRef>
              <c:f>INDICES!$B$34:$P$34</c:f>
              <c:numCache>
                <c:formatCode>0.0</c:formatCode>
                <c:ptCount val="15"/>
                <c:pt idx="1">
                  <c:v>1023.475</c:v>
                </c:pt>
                <c:pt idx="3">
                  <c:v>1042.8604166666664</c:v>
                </c:pt>
                <c:pt idx="4">
                  <c:v>1042.8604166666664</c:v>
                </c:pt>
                <c:pt idx="5">
                  <c:v>1042.8604166666664</c:v>
                </c:pt>
                <c:pt idx="6">
                  <c:v>958.30416666666645</c:v>
                </c:pt>
                <c:pt idx="7">
                  <c:v>958.30416666666645</c:v>
                </c:pt>
                <c:pt idx="8">
                  <c:v>958.30416666666645</c:v>
                </c:pt>
                <c:pt idx="9">
                  <c:v>873.74791666666647</c:v>
                </c:pt>
                <c:pt idx="10">
                  <c:v>873.74791666666647</c:v>
                </c:pt>
                <c:pt idx="11">
                  <c:v>873.74791666666647</c:v>
                </c:pt>
                <c:pt idx="12">
                  <c:v>789.19166666666649</c:v>
                </c:pt>
                <c:pt idx="13">
                  <c:v>789.19166666666649</c:v>
                </c:pt>
                <c:pt idx="14">
                  <c:v>789.19166666666649</c:v>
                </c:pt>
              </c:numCache>
            </c:numRef>
          </c:val>
        </c:ser>
        <c:marker val="1"/>
        <c:axId val="145098624"/>
        <c:axId val="145100160"/>
      </c:lineChart>
      <c:catAx>
        <c:axId val="14509862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5100160"/>
        <c:crosses val="autoZero"/>
        <c:auto val="1"/>
        <c:lblAlgn val="ctr"/>
        <c:lblOffset val="100"/>
      </c:catAx>
      <c:valAx>
        <c:axId val="145100160"/>
        <c:scaling>
          <c:orientation val="minMax"/>
          <c:max val="200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5098624"/>
        <c:crosses val="autoZero"/>
        <c:crossBetween val="between"/>
        <c:majorUnit val="500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8493792868670784"/>
          <c:y val="3.4966169206892828E-2"/>
          <c:w val="0.5962500084203195"/>
          <c:h val="8.391880609654309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yen/kpc</a:t>
            </a:r>
          </a:p>
        </c:rich>
      </c:tx>
      <c:layout>
        <c:manualLayout>
          <c:xMode val="edge"/>
          <c:yMode val="edge"/>
          <c:x val="4.2614483118053922E-2"/>
          <c:y val="2.77779452209623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8820345976268396E-2"/>
          <c:y val="0.21802690747572678"/>
          <c:w val="0.9196453337007181"/>
          <c:h val="0.64669529945120696"/>
        </c:manualLayout>
      </c:layout>
      <c:barChart>
        <c:barDir val="col"/>
        <c:grouping val="clustered"/>
        <c:ser>
          <c:idx val="0"/>
          <c:order val="0"/>
          <c:tx>
            <c:strRef>
              <c:f>INDICES!$A$38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INDICES!$B$37:$P$37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INDICES!$B$38:$P$38</c:f>
              <c:numCache>
                <c:formatCode>0.00</c:formatCode>
                <c:ptCount val="15"/>
                <c:pt idx="0">
                  <c:v>20.131163116731866</c:v>
                </c:pt>
                <c:pt idx="1">
                  <c:v>12.051680204334987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INDICES!$A$39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INDICES!$B$37:$P$37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INDICES!$B$39:$P$39</c:f>
              <c:numCache>
                <c:formatCode>0.00</c:formatCode>
                <c:ptCount val="15"/>
                <c:pt idx="0">
                  <c:v>8.8143337859064133</c:v>
                </c:pt>
                <c:pt idx="1">
                  <c:v>5.6038496387718064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INDICES!$A$40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INDICES!$B$37:$P$37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INDICES!$B$40:$P$40</c:f>
              <c:numCache>
                <c:formatCode>0.00</c:formatCode>
                <c:ptCount val="15"/>
                <c:pt idx="0">
                  <c:v>20.283457223442646</c:v>
                </c:pt>
                <c:pt idx="1">
                  <c:v>30.067344585445923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INDICES!$A$41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INDICES!$B$37:$P$37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INDICES!$B$41:$P$41</c:f>
              <c:numCache>
                <c:formatCode>0.00</c:formatCode>
                <c:ptCount val="15"/>
                <c:pt idx="0">
                  <c:v>49.2972052236452</c:v>
                </c:pt>
                <c:pt idx="1">
                  <c:v>20.927195515861563</c:v>
                </c:pt>
                <c:pt idx="2">
                  <c:v>0</c:v>
                </c:pt>
              </c:numCache>
            </c:numRef>
          </c:val>
        </c:ser>
        <c:axId val="145936768"/>
        <c:axId val="145938304"/>
      </c:barChart>
      <c:lineChart>
        <c:grouping val="standard"/>
        <c:ser>
          <c:idx val="4"/>
          <c:order val="4"/>
          <c:tx>
            <c:strRef>
              <c:f>INDICES!$A$43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INDICES!$B$37:$P$37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INDICES!$B$43:$P$43</c:f>
              <c:numCache>
                <c:formatCode>0.00</c:formatCode>
                <c:ptCount val="15"/>
                <c:pt idx="3">
                  <c:v>16.690548255235718</c:v>
                </c:pt>
                <c:pt idx="4">
                  <c:v>16.690548255235718</c:v>
                </c:pt>
                <c:pt idx="5">
                  <c:v>16.690548255235718</c:v>
                </c:pt>
                <c:pt idx="6">
                  <c:v>16.21857902436787</c:v>
                </c:pt>
                <c:pt idx="7">
                  <c:v>16.21857902436787</c:v>
                </c:pt>
                <c:pt idx="8">
                  <c:v>16.21857902436787</c:v>
                </c:pt>
                <c:pt idx="9">
                  <c:v>15.746609793500021</c:v>
                </c:pt>
                <c:pt idx="10">
                  <c:v>15.746609793500021</c:v>
                </c:pt>
                <c:pt idx="11">
                  <c:v>15.746609793500021</c:v>
                </c:pt>
                <c:pt idx="12">
                  <c:v>15.274640562632172</c:v>
                </c:pt>
                <c:pt idx="13">
                  <c:v>15.274640562632172</c:v>
                </c:pt>
                <c:pt idx="14">
                  <c:v>15.274640562632172</c:v>
                </c:pt>
              </c:numCache>
            </c:numRef>
          </c:val>
        </c:ser>
        <c:ser>
          <c:idx val="6"/>
          <c:order val="5"/>
          <c:tx>
            <c:strRef>
              <c:f>INDICES!$A$42</c:f>
              <c:strCache>
                <c:ptCount val="1"/>
                <c:pt idx="0">
                  <c:v>AVERAGE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INDICES!$B$37:$P$37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INDICES!$B$42:$P$42</c:f>
              <c:numCache>
                <c:formatCode>0.00</c:formatCode>
                <c:ptCount val="15"/>
                <c:pt idx="0">
                  <c:v>24.631539837431532</c:v>
                </c:pt>
                <c:pt idx="1">
                  <c:v>17.162517486103567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145936768"/>
        <c:axId val="145938304"/>
      </c:lineChart>
      <c:catAx>
        <c:axId val="14593676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5938304"/>
        <c:crosses val="autoZero"/>
        <c:auto val="1"/>
        <c:lblAlgn val="ctr"/>
        <c:lblOffset val="100"/>
      </c:catAx>
      <c:valAx>
        <c:axId val="145938304"/>
        <c:scaling>
          <c:orientation val="minMax"/>
          <c:max val="5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5936768"/>
        <c:crosses val="autoZero"/>
        <c:crossBetween val="between"/>
        <c:majorUnit val="10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592833247925327"/>
          <c:y val="4.8952636889650097E-2"/>
          <c:w val="0.74699493154238905"/>
          <c:h val="7.3428955334474966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1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kyen</a:t>
            </a:r>
          </a:p>
        </c:rich>
      </c:tx>
      <c:layout>
        <c:manualLayout>
          <c:xMode val="edge"/>
          <c:yMode val="edge"/>
          <c:x val="4.261456798652196E-2"/>
          <c:y val="2.77778816840295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083244136878771E-2"/>
          <c:y val="0.23194808982210649"/>
          <c:w val="0.90979338215293748"/>
          <c:h val="0.6327741324001197"/>
        </c:manualLayout>
      </c:layout>
      <c:barChart>
        <c:barDir val="col"/>
        <c:grouping val="clustered"/>
        <c:ser>
          <c:idx val="0"/>
          <c:order val="0"/>
          <c:tx>
            <c:strRef>
              <c:f>INDICES!$A$46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INDICES!$B$45:$P$45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INDICES!$B$46:$P$46</c:f>
              <c:numCache>
                <c:formatCode>0</c:formatCode>
                <c:ptCount val="15"/>
                <c:pt idx="0">
                  <c:v>1758.3705812178405</c:v>
                </c:pt>
                <c:pt idx="1">
                  <c:v>994.62292765986194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INDICES!$A$47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INDICES!$B$45:$P$45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INDICES!$B$47:$P$47</c:f>
              <c:numCache>
                <c:formatCode>0</c:formatCode>
                <c:ptCount val="15"/>
                <c:pt idx="0">
                  <c:v>1432.3776499999999</c:v>
                </c:pt>
                <c:pt idx="1">
                  <c:v>767.74609465036804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INDICES!$A$48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INDICES!$B$45:$P$45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INDICES!$B$48:$P$48</c:f>
              <c:numCache>
                <c:formatCode>0</c:formatCode>
                <c:ptCount val="15"/>
                <c:pt idx="0">
                  <c:v>1202.8293396726997</c:v>
                </c:pt>
                <c:pt idx="1">
                  <c:v>1347.2857148802304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INDICES!$A$49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INDICES!$B$45:$P$45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INDICES!$B$49:$P$49</c:f>
              <c:numCache>
                <c:formatCode>0</c:formatCode>
                <c:ptCount val="15"/>
                <c:pt idx="0">
                  <c:v>781.41000000000008</c:v>
                </c:pt>
                <c:pt idx="1">
                  <c:v>237.71656587467061</c:v>
                </c:pt>
                <c:pt idx="2">
                  <c:v>0</c:v>
                </c:pt>
              </c:numCache>
            </c:numRef>
          </c:val>
        </c:ser>
        <c:axId val="146004992"/>
        <c:axId val="146088704"/>
      </c:barChart>
      <c:lineChart>
        <c:grouping val="standard"/>
        <c:ser>
          <c:idx val="6"/>
          <c:order val="4"/>
          <c:tx>
            <c:strRef>
              <c:f>INDICES!$A$50</c:f>
              <c:strCache>
                <c:ptCount val="1"/>
                <c:pt idx="0">
                  <c:v>AVERAGE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INDICES!$B$45:$P$45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INDICES!$B$50:$P$50</c:f>
              <c:numCache>
                <c:formatCode>0</c:formatCode>
                <c:ptCount val="15"/>
                <c:pt idx="0">
                  <c:v>1293.746892722635</c:v>
                </c:pt>
                <c:pt idx="1">
                  <c:v>836.84282576628277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4"/>
          <c:order val="5"/>
          <c:tx>
            <c:strRef>
              <c:f>INDICES!$A$51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INDICES!$B$45:$P$45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INDICES!$B$51:$P$51</c:f>
              <c:numCache>
                <c:formatCode>0</c:formatCode>
                <c:ptCount val="15"/>
                <c:pt idx="3">
                  <c:v>813.82964805770996</c:v>
                </c:pt>
                <c:pt idx="4">
                  <c:v>813.82964805770996</c:v>
                </c:pt>
                <c:pt idx="5">
                  <c:v>813.82964805770996</c:v>
                </c:pt>
                <c:pt idx="6">
                  <c:v>790.81647034913715</c:v>
                </c:pt>
                <c:pt idx="7">
                  <c:v>790.81647034913715</c:v>
                </c:pt>
                <c:pt idx="8">
                  <c:v>790.81647034913715</c:v>
                </c:pt>
                <c:pt idx="9">
                  <c:v>767.80329264056434</c:v>
                </c:pt>
                <c:pt idx="10">
                  <c:v>767.80329264056434</c:v>
                </c:pt>
                <c:pt idx="11">
                  <c:v>767.80329264056434</c:v>
                </c:pt>
                <c:pt idx="12">
                  <c:v>744.79011493199152</c:v>
                </c:pt>
                <c:pt idx="13">
                  <c:v>744.79011493199152</c:v>
                </c:pt>
                <c:pt idx="14">
                  <c:v>744.79011493199152</c:v>
                </c:pt>
              </c:numCache>
            </c:numRef>
          </c:val>
        </c:ser>
        <c:marker val="1"/>
        <c:axId val="146004992"/>
        <c:axId val="146088704"/>
      </c:lineChart>
      <c:catAx>
        <c:axId val="146004992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088704"/>
        <c:crosses val="autoZero"/>
        <c:auto val="1"/>
        <c:lblAlgn val="ctr"/>
        <c:lblOffset val="100"/>
      </c:catAx>
      <c:valAx>
        <c:axId val="146088704"/>
        <c:scaling>
          <c:orientation val="minMax"/>
          <c:max val="2000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004992"/>
        <c:crosses val="autoZero"/>
        <c:crossBetween val="between"/>
        <c:majorUnit val="500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7686230780516966"/>
          <c:y val="4.5140422718141893E-2"/>
          <c:w val="0.61778499743775861"/>
          <c:h val="8.333616501810806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1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Operation Rate</a:t>
            </a:r>
          </a:p>
        </c:rich>
      </c:tx>
      <c:layout>
        <c:manualLayout>
          <c:xMode val="edge"/>
          <c:yMode val="edge"/>
          <c:x val="4.2614428142525501E-2"/>
          <c:y val="2.77779452209623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4894484584422166E-2"/>
          <c:y val="0.19043477787634241"/>
          <c:w val="0.91536199191317313"/>
          <c:h val="0.68811060075823849"/>
        </c:manualLayout>
      </c:layout>
      <c:barChart>
        <c:barDir val="col"/>
        <c:grouping val="clustered"/>
        <c:ser>
          <c:idx val="0"/>
          <c:order val="0"/>
          <c:tx>
            <c:strRef>
              <c:f>INDICES!$A$63</c:f>
              <c:strCache>
                <c:ptCount val="1"/>
                <c:pt idx="0">
                  <c:v>HTSSOP-B24 (LSI 1)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INDICES!$B$62:$P$62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INDICES!$B$63:$P$63</c:f>
              <c:numCache>
                <c:formatCode>0%</c:formatCode>
                <c:ptCount val="15"/>
                <c:pt idx="0">
                  <c:v>0.60550000000000004</c:v>
                </c:pt>
                <c:pt idx="1">
                  <c:v>0.51034999999999997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INDICES!$A$64</c:f>
              <c:strCache>
                <c:ptCount val="1"/>
                <c:pt idx="0">
                  <c:v>SSOP-5 (LSI 2 1F)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INDICES!$B$62:$P$62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INDICES!$B$64:$P$64</c:f>
              <c:numCache>
                <c:formatCode>0%</c:formatCode>
                <c:ptCount val="15"/>
                <c:pt idx="0">
                  <c:v>0.61899999999999999</c:v>
                </c:pt>
                <c:pt idx="1">
                  <c:v>0.48099999999999998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INDICES!$A$65</c:f>
              <c:strCache>
                <c:ptCount val="1"/>
                <c:pt idx="0">
                  <c:v>UQFN68V8080 (LSI 2 3F)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INDICES!$B$62:$P$62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INDICES!$B$65:$P$65</c:f>
              <c:numCache>
                <c:formatCode>0%</c:formatCode>
                <c:ptCount val="15"/>
                <c:pt idx="0">
                  <c:v>0.68</c:v>
                </c:pt>
                <c:pt idx="1">
                  <c:v>0.72963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INDICES!$A$66</c:f>
              <c:strCache>
                <c:ptCount val="1"/>
                <c:pt idx="0">
                  <c:v>MAP-X (LSI 3)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INDICES!$B$62:$P$62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INDICES!$B$66:$P$66</c:f>
              <c:numCache>
                <c:formatCode>0%</c:formatCode>
                <c:ptCount val="15"/>
                <c:pt idx="0">
                  <c:v>0.73</c:v>
                </c:pt>
                <c:pt idx="1">
                  <c:v>0.67200000000000004</c:v>
                </c:pt>
                <c:pt idx="2">
                  <c:v>0</c:v>
                </c:pt>
              </c:numCache>
            </c:numRef>
          </c:val>
        </c:ser>
        <c:gapWidth val="50"/>
        <c:axId val="146171008"/>
        <c:axId val="146172544"/>
      </c:barChart>
      <c:lineChart>
        <c:grouping val="standard"/>
        <c:ser>
          <c:idx val="4"/>
          <c:order val="4"/>
          <c:tx>
            <c:strRef>
              <c:f>INDICES!$A$68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INDICES!$B$62:$P$62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INDICES!$B$68:$P$68</c:f>
              <c:numCache>
                <c:formatCode>0%</c:formatCode>
                <c:ptCount val="15"/>
                <c:pt idx="1">
                  <c:v>0.70010937499999981</c:v>
                </c:pt>
                <c:pt idx="3">
                  <c:v>0.61118375000000003</c:v>
                </c:pt>
                <c:pt idx="4">
                  <c:v>0.61118375000000003</c:v>
                </c:pt>
                <c:pt idx="5">
                  <c:v>0.61118375000000003</c:v>
                </c:pt>
                <c:pt idx="6">
                  <c:v>0.62412250000000002</c:v>
                </c:pt>
                <c:pt idx="7">
                  <c:v>0.62412250000000002</c:v>
                </c:pt>
                <c:pt idx="8">
                  <c:v>0.62412250000000002</c:v>
                </c:pt>
                <c:pt idx="9">
                  <c:v>0.63706125000000002</c:v>
                </c:pt>
                <c:pt idx="10">
                  <c:v>0.63706125000000002</c:v>
                </c:pt>
                <c:pt idx="11">
                  <c:v>0.63706125000000002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</c:numCache>
            </c:numRef>
          </c:val>
        </c:ser>
        <c:ser>
          <c:idx val="5"/>
          <c:order val="5"/>
          <c:tx>
            <c:strRef>
              <c:f>INDICES!$A$67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INDICES!$B$62:$P$62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INDICES!$B$67:$P$67</c:f>
              <c:numCache>
                <c:formatCode>0%</c:formatCode>
                <c:ptCount val="15"/>
                <c:pt idx="0">
                  <c:v>0.65862500000000002</c:v>
                </c:pt>
                <c:pt idx="1">
                  <c:v>0.59824500000000003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146171008"/>
        <c:axId val="146172544"/>
      </c:lineChart>
      <c:catAx>
        <c:axId val="14617100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172544"/>
        <c:crosses val="autoZero"/>
        <c:auto val="1"/>
        <c:lblAlgn val="ctr"/>
        <c:lblOffset val="100"/>
      </c:catAx>
      <c:valAx>
        <c:axId val="146172544"/>
        <c:scaling>
          <c:orientation val="minMax"/>
          <c:max val="1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171008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0811769747989642"/>
          <c:y val="1.7483084603446421E-2"/>
          <c:w val="0.68650785227976763"/>
          <c:h val="0.12587820914481418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BM/Mc</a:t>
            </a:r>
          </a:p>
        </c:rich>
      </c:tx>
      <c:layout>
        <c:manualLayout>
          <c:xMode val="edge"/>
          <c:yMode val="edge"/>
          <c:x val="4.2614428142525501E-2"/>
          <c:y val="2.77779452209623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5272896098264348E-2"/>
          <c:y val="0.18582704304966741"/>
          <c:w val="0.93142542430747832"/>
          <c:h val="0.69271850912567323"/>
        </c:manualLayout>
      </c:layout>
      <c:barChart>
        <c:barDir val="col"/>
        <c:grouping val="clustered"/>
        <c:ser>
          <c:idx val="0"/>
          <c:order val="0"/>
          <c:tx>
            <c:strRef>
              <c:f>INDICES!$A$71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INDICES!$B$70:$P$70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INDICES!$B$71:$P$71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INDICES!$A$72</c:f>
              <c:strCache>
                <c:ptCount val="1"/>
                <c:pt idx="0">
                  <c:v>LSI 2 1F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INDICES!$B$70:$P$70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INDICES!$B$72:$P$72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INDICES!$A$73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INDICES!$B$70:$P$70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INDICES!$B$73:$P$73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INDICES!$A$74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INDICES!$B$70:$P$70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INDICES!$B$74:$P$74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50"/>
        <c:axId val="146234752"/>
        <c:axId val="146257024"/>
      </c:barChart>
      <c:lineChart>
        <c:grouping val="standard"/>
        <c:ser>
          <c:idx val="4"/>
          <c:order val="4"/>
          <c:tx>
            <c:strRef>
              <c:f>INDICES!$A$76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INDICES!$B$70:$P$70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INDICES!$B$76:$P$76</c:f>
              <c:numCache>
                <c:formatCode>0.0</c:formatCode>
                <c:ptCount val="15"/>
                <c:pt idx="1">
                  <c:v>5.9983166253371936</c:v>
                </c:pt>
                <c:pt idx="3" formatCode="0.00">
                  <c:v>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0</c:v>
                </c:pt>
                <c:pt idx="7" formatCode="0.00">
                  <c:v>0</c:v>
                </c:pt>
                <c:pt idx="8" formatCode="0.00">
                  <c:v>0</c:v>
                </c:pt>
                <c:pt idx="9" formatCode="0.00">
                  <c:v>0</c:v>
                </c:pt>
                <c:pt idx="10" formatCode="0.00">
                  <c:v>0</c:v>
                </c:pt>
                <c:pt idx="11" formatCode="0.00">
                  <c:v>0</c:v>
                </c:pt>
                <c:pt idx="12" formatCode="0.00">
                  <c:v>0</c:v>
                </c:pt>
                <c:pt idx="13" formatCode="0.00">
                  <c:v>0</c:v>
                </c:pt>
                <c:pt idx="14" formatCode="0.00">
                  <c:v>0</c:v>
                </c:pt>
              </c:numCache>
            </c:numRef>
          </c:val>
        </c:ser>
        <c:ser>
          <c:idx val="5"/>
          <c:order val="5"/>
          <c:tx>
            <c:strRef>
              <c:f>INDICES!$A$75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INDICES!$B$70:$P$70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INDICES!$B$75:$P$75</c:f>
              <c:numCache>
                <c:formatCode>0.00</c:formatCode>
                <c:ptCount val="15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146234752"/>
        <c:axId val="146257024"/>
      </c:lineChart>
      <c:catAx>
        <c:axId val="14623475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257024"/>
        <c:crosses val="autoZero"/>
        <c:auto val="1"/>
        <c:lblAlgn val="ctr"/>
        <c:lblOffset val="100"/>
      </c:catAx>
      <c:valAx>
        <c:axId val="146257024"/>
        <c:scaling>
          <c:orientation val="minMax"/>
          <c:max val="16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234752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00062246799322"/>
          <c:y val="4.5456019968960704E-2"/>
          <c:w val="0.79461932507973032"/>
          <c:h val="8.391880609654309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MTTR</a:t>
            </a:r>
          </a:p>
        </c:rich>
      </c:tx>
      <c:layout>
        <c:manualLayout>
          <c:xMode val="edge"/>
          <c:yMode val="edge"/>
          <c:x val="4.2614428142525501E-2"/>
          <c:y val="2.77781745062297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5913316243653192E-2"/>
          <c:y val="0.17661157339631778"/>
          <c:w val="0.92079289654582896"/>
          <c:h val="0.70193397877902286"/>
        </c:manualLayout>
      </c:layout>
      <c:barChart>
        <c:barDir val="col"/>
        <c:grouping val="clustered"/>
        <c:ser>
          <c:idx val="0"/>
          <c:order val="0"/>
          <c:tx>
            <c:strRef>
              <c:f>INDICES!$A$79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INDICES!$B$78:$P$78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INDICES!$B$79:$P$79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INDICES!$A$80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INDICES!$B$78:$P$78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INDICES!$B$80:$P$80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INDICES!$A$81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INDICES!$B$78:$P$78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INDICES!$B$81:$P$81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INDICES!$A$82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INDICES!$B$78:$P$78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INDICES!$B$82:$P$82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50"/>
        <c:axId val="146340096"/>
        <c:axId val="146345984"/>
      </c:barChart>
      <c:lineChart>
        <c:grouping val="standard"/>
        <c:ser>
          <c:idx val="4"/>
          <c:order val="4"/>
          <c:tx>
            <c:strRef>
              <c:f>INDICES!$A$84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INDICES!$B$78:$P$78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INDICES!$B$84:$P$84</c:f>
              <c:numCache>
                <c:formatCode>0</c:formatCode>
                <c:ptCount val="15"/>
                <c:pt idx="1">
                  <c:v>85.917627250553323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5"/>
          <c:order val="5"/>
          <c:tx>
            <c:strRef>
              <c:f>INDICES!$A$83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INDICES!$B$78:$P$78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INDICES!$B$83:$P$83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146340096"/>
        <c:axId val="146345984"/>
      </c:lineChart>
      <c:catAx>
        <c:axId val="14634009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345984"/>
        <c:crosses val="autoZero"/>
        <c:auto val="1"/>
        <c:lblAlgn val="ctr"/>
        <c:lblOffset val="100"/>
      </c:catAx>
      <c:valAx>
        <c:axId val="1463459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340096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5811614130991312"/>
          <c:y val="4.5297554435669095E-2"/>
          <c:w val="0.73650940844975143"/>
          <c:h val="8.362625434277397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Waiting Time</a:t>
            </a:r>
          </a:p>
        </c:rich>
      </c:tx>
      <c:layout>
        <c:manualLayout>
          <c:xMode val="edge"/>
          <c:yMode val="edge"/>
          <c:x val="4.2614455704247732E-2"/>
          <c:y val="2.77779452209623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9491470961091135E-2"/>
          <c:y val="0.18582704304966741"/>
          <c:w val="0.91542566446967166"/>
          <c:h val="0.69271850912567323"/>
        </c:manualLayout>
      </c:layout>
      <c:barChart>
        <c:barDir val="col"/>
        <c:grouping val="clustered"/>
        <c:ser>
          <c:idx val="0"/>
          <c:order val="0"/>
          <c:tx>
            <c:strRef>
              <c:f>INDICES!$A$87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INDICES!$B$86:$P$86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INDICES!$B$87:$P$87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INDICES!$A$88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INDICES!$B$86:$P$86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INDICES!$B$88:$P$88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INDICES!$A$89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INDICES!$B$86:$P$86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INDICES!$B$89:$P$89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INDICES!$A$90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INDICES!$B$86:$P$86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INDICES!$B$90:$P$90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50"/>
        <c:axId val="146490112"/>
        <c:axId val="146491648"/>
      </c:barChart>
      <c:lineChart>
        <c:grouping val="standard"/>
        <c:ser>
          <c:idx val="4"/>
          <c:order val="4"/>
          <c:tx>
            <c:strRef>
              <c:f>INDICES!$A$92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INDICES!$B$86:$P$86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INDICES!$B$92:$P$92</c:f>
              <c:numCache>
                <c:formatCode>0</c:formatCode>
                <c:ptCount val="15"/>
                <c:pt idx="1">
                  <c:v>64.765134661970649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5"/>
          <c:order val="5"/>
          <c:tx>
            <c:strRef>
              <c:f>INDICES!$A$91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INDICES!$B$86:$P$86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INDICES!$B$91:$P$91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146490112"/>
        <c:axId val="146491648"/>
      </c:lineChart>
      <c:catAx>
        <c:axId val="14649011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491648"/>
        <c:crosses val="autoZero"/>
        <c:auto val="1"/>
        <c:lblAlgn val="ctr"/>
        <c:lblOffset val="100"/>
      </c:catAx>
      <c:valAx>
        <c:axId val="146491648"/>
        <c:scaling>
          <c:orientation val="minMax"/>
          <c:max val="30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490112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7531257095086659"/>
          <c:y val="4.5456019968960704E-2"/>
          <c:w val="0.71932157018044662"/>
          <c:h val="8.391880609654309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Long BM</a:t>
            </a:r>
          </a:p>
        </c:rich>
      </c:tx>
      <c:layout>
        <c:manualLayout>
          <c:xMode val="edge"/>
          <c:yMode val="edge"/>
          <c:x val="4.2614511895690523E-2"/>
          <c:y val="2.77779452209623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5913316243653192E-2"/>
          <c:y val="0.17661157339631778"/>
          <c:w val="0.92079289654582896"/>
          <c:h val="0.70193397877902286"/>
        </c:manualLayout>
      </c:layout>
      <c:barChart>
        <c:barDir val="col"/>
        <c:grouping val="clustered"/>
        <c:ser>
          <c:idx val="0"/>
          <c:order val="0"/>
          <c:tx>
            <c:strRef>
              <c:f>INDICES!$A$95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INDICES!$B$94:$P$94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INDICES!$B$95:$P$95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INDICES!$A$96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INDICES!$B$94:$P$94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INDICES!$B$96:$P$96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INDICES!$A$97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INDICES!$B$94:$P$94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INDICES!$B$97:$P$97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INDICES!$A$98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INDICES!$B$94:$P$94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INDICES!$B$98:$P$98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50"/>
        <c:axId val="146625664"/>
        <c:axId val="146627200"/>
      </c:barChart>
      <c:lineChart>
        <c:grouping val="standard"/>
        <c:ser>
          <c:idx val="4"/>
          <c:order val="4"/>
          <c:tx>
            <c:strRef>
              <c:f>INDICES!$A$100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INDICES!$B$94:$P$94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INDICES!$B$100:$P$100</c:f>
              <c:numCache>
                <c:formatCode>0</c:formatCode>
                <c:ptCount val="15"/>
                <c:pt idx="1">
                  <c:v>125.125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5"/>
          <c:order val="5"/>
          <c:tx>
            <c:strRef>
              <c:f>INDICES!$A$99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INDICES!$B$94:$P$94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INDICES!$B$99:$P$99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146625664"/>
        <c:axId val="146627200"/>
      </c:lineChart>
      <c:catAx>
        <c:axId val="14662566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627200"/>
        <c:crosses val="autoZero"/>
        <c:auto val="1"/>
        <c:lblAlgn val="ctr"/>
        <c:lblOffset val="100"/>
      </c:catAx>
      <c:valAx>
        <c:axId val="146627200"/>
        <c:scaling>
          <c:orientation val="minMax"/>
          <c:max val="30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625664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5607282070838894"/>
          <c:y val="4.8952636889650097E-2"/>
          <c:w val="0.73856792499051127"/>
          <c:h val="8.391880609654309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Defect Rate Transition</a:t>
            </a:r>
          </a:p>
        </c:rich>
      </c:tx>
      <c:layout>
        <c:manualLayout>
          <c:xMode val="edge"/>
          <c:yMode val="edge"/>
          <c:x val="4.2614483118053922E-2"/>
          <c:y val="2.77781745062297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7684361956551924E-2"/>
          <c:y val="0.162788427978176"/>
          <c:w val="0.91995944652275163"/>
          <c:h val="0.70193387063652946"/>
        </c:manualLayout>
      </c:layout>
      <c:barChart>
        <c:barDir val="col"/>
        <c:grouping val="clustered"/>
        <c:ser>
          <c:idx val="0"/>
          <c:order val="0"/>
          <c:tx>
            <c:strRef>
              <c:f>INDICES!$A$54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multiLvlStrRef>
              <c:f>INDICES!$B$13:$P$13</c:f>
            </c:multiLvlStrRef>
          </c:cat>
          <c:val>
            <c:numRef>
              <c:f>INDICES!$B$54:$P$54</c:f>
              <c:numCache>
                <c:formatCode>0.00%</c:formatCode>
                <c:ptCount val="15"/>
                <c:pt idx="0">
                  <c:v>2.6213731373409726E-4</c:v>
                </c:pt>
                <c:pt idx="1">
                  <c:v>5.807051904040565E-4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INDICES!$A$55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multiLvlStrRef>
              <c:f>INDICES!$B$13:$P$13</c:f>
            </c:multiLvlStrRef>
          </c:cat>
          <c:val>
            <c:numRef>
              <c:f>INDICES!$B$55:$P$55</c:f>
              <c:numCache>
                <c:formatCode>0.00%</c:formatCode>
                <c:ptCount val="15"/>
                <c:pt idx="0">
                  <c:v>1.124879993761981E-2</c:v>
                </c:pt>
                <c:pt idx="1">
                  <c:v>1.475274353274387E-2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INDICES!$A$56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multiLvlStrRef>
              <c:f>INDICES!$B$13:$P$13</c:f>
            </c:multiLvlStrRef>
          </c:cat>
          <c:val>
            <c:numRef>
              <c:f>INDICES!$B$56:$P$56</c:f>
              <c:numCache>
                <c:formatCode>0.00%</c:formatCode>
                <c:ptCount val="15"/>
                <c:pt idx="0">
                  <c:v>2.3514371059442808E-2</c:v>
                </c:pt>
                <c:pt idx="1">
                  <c:v>1.7601806269902563E-2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INDICES!$A$57</c:f>
              <c:strCache>
                <c:ptCount val="1"/>
                <c:pt idx="0">
                  <c:v>LSI 3 (MAPX)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multiLvlStrRef>
              <c:f>INDICES!$B$13:$P$13</c:f>
            </c:multiLvlStrRef>
          </c:cat>
          <c:val>
            <c:numRef>
              <c:f>INDICES!$B$57:$P$57</c:f>
              <c:numCache>
                <c:formatCode>0.00%</c:formatCode>
                <c:ptCount val="15"/>
                <c:pt idx="0">
                  <c:v>3.8883520543910297E-2</c:v>
                </c:pt>
                <c:pt idx="1">
                  <c:v>2.3073326697819925E-2</c:v>
                </c:pt>
                <c:pt idx="2">
                  <c:v>0</c:v>
                </c:pt>
              </c:numCache>
            </c:numRef>
          </c:val>
        </c:ser>
        <c:gapWidth val="50"/>
        <c:axId val="146689408"/>
        <c:axId val="146728064"/>
      </c:barChart>
      <c:lineChart>
        <c:grouping val="standard"/>
        <c:ser>
          <c:idx val="4"/>
          <c:order val="4"/>
          <c:tx>
            <c:strRef>
              <c:f>INDICES!$A$59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INDICES!$B$53:$P$53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INDICES!$B$59:$P$59</c:f>
              <c:numCache>
                <c:formatCode>0.00%</c:formatCode>
                <c:ptCount val="15"/>
                <c:pt idx="3">
                  <c:v>1.3520895422717604E-2</c:v>
                </c:pt>
                <c:pt idx="4">
                  <c:v>1.3520895422717604E-2</c:v>
                </c:pt>
                <c:pt idx="5">
                  <c:v>1.3520895422717604E-2</c:v>
                </c:pt>
                <c:pt idx="6">
                  <c:v>1.3039645422717605E-2</c:v>
                </c:pt>
                <c:pt idx="7">
                  <c:v>1.3039645422717605E-2</c:v>
                </c:pt>
                <c:pt idx="8">
                  <c:v>1.3039645422717605E-2</c:v>
                </c:pt>
                <c:pt idx="9">
                  <c:v>1.2558395422717606E-2</c:v>
                </c:pt>
                <c:pt idx="10">
                  <c:v>1.2558395422717606E-2</c:v>
                </c:pt>
                <c:pt idx="11">
                  <c:v>1.2558395422717606E-2</c:v>
                </c:pt>
                <c:pt idx="12">
                  <c:v>1.2077145422717607E-2</c:v>
                </c:pt>
                <c:pt idx="13">
                  <c:v>1.2077145422717607E-2</c:v>
                </c:pt>
                <c:pt idx="14">
                  <c:v>1.2077145422717607E-2</c:v>
                </c:pt>
              </c:numCache>
            </c:numRef>
          </c:val>
        </c:ser>
        <c:ser>
          <c:idx val="5"/>
          <c:order val="5"/>
          <c:tx>
            <c:strRef>
              <c:f>INDICES!$A$58</c:f>
              <c:strCache>
                <c:ptCount val="1"/>
                <c:pt idx="0">
                  <c:v>DEFECT RATE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INDICES!$B$53:$P$53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INDICES!$B$58:$P$58</c:f>
              <c:numCache>
                <c:formatCode>0.00%</c:formatCode>
                <c:ptCount val="15"/>
                <c:pt idx="0">
                  <c:v>1.8477207213676752E-2</c:v>
                </c:pt>
                <c:pt idx="1">
                  <c:v>1.4002145422717603E-2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146689408"/>
        <c:axId val="146728064"/>
      </c:lineChart>
      <c:catAx>
        <c:axId val="14668940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728064"/>
        <c:crosses val="autoZero"/>
        <c:auto val="1"/>
        <c:lblAlgn val="ctr"/>
        <c:lblOffset val="100"/>
      </c:catAx>
      <c:valAx>
        <c:axId val="146728064"/>
        <c:scaling>
          <c:orientation val="minMax"/>
          <c:max val="5.0000000000000024E-2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689408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6340293966927106"/>
          <c:y val="2.4390990849975671E-2"/>
          <c:w val="0.63124436557365715"/>
          <c:h val="8.362625434277397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Attendance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layout>
        <c:manualLayout>
          <c:xMode val="edge"/>
          <c:yMode val="edge"/>
          <c:x val="4.2614455704247732E-2"/>
          <c:y val="2.77779452209623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8472639301859789E-2"/>
          <c:y val="0.17661162146398368"/>
          <c:w val="0.90999495385419582"/>
          <c:h val="0.68811060075823849"/>
        </c:manualLayout>
      </c:layout>
      <c:barChart>
        <c:barDir val="col"/>
        <c:grouping val="clustered"/>
        <c:ser>
          <c:idx val="0"/>
          <c:order val="0"/>
          <c:tx>
            <c:strRef>
              <c:f>INDICES!$W$10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INDICES!$X$4:$AK$4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INDICES!$X$10:$AK$10</c:f>
              <c:numCache>
                <c:formatCode>0%</c:formatCode>
                <c:ptCount val="14"/>
                <c:pt idx="0">
                  <c:v>0.95771944444444435</c:v>
                </c:pt>
                <c:pt idx="1">
                  <c:v>0.97015955057824621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50"/>
        <c:axId val="146774656"/>
        <c:axId val="146792832"/>
      </c:barChart>
      <c:lineChart>
        <c:grouping val="standard"/>
        <c:ser>
          <c:idx val="4"/>
          <c:order val="1"/>
          <c:tx>
            <c:strRef>
              <c:f>INDICES!$W$11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INDICES!$X$4:$AK$4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INDICES!$X$11:$AK$11</c:f>
              <c:numCache>
                <c:formatCode>0%</c:formatCode>
                <c:ptCount val="14"/>
                <c:pt idx="0">
                  <c:v>0.98</c:v>
                </c:pt>
                <c:pt idx="1">
                  <c:v>0.98000000000000032</c:v>
                </c:pt>
                <c:pt idx="2">
                  <c:v>0.98000000000000032</c:v>
                </c:pt>
                <c:pt idx="3">
                  <c:v>0.98000000000000032</c:v>
                </c:pt>
                <c:pt idx="4">
                  <c:v>0.98000000000000032</c:v>
                </c:pt>
                <c:pt idx="5">
                  <c:v>0.98000000000000032</c:v>
                </c:pt>
                <c:pt idx="6">
                  <c:v>0.98000000000000032</c:v>
                </c:pt>
                <c:pt idx="7">
                  <c:v>0.98000000000000032</c:v>
                </c:pt>
                <c:pt idx="8">
                  <c:v>0.98000000000000032</c:v>
                </c:pt>
                <c:pt idx="9">
                  <c:v>0.98000000000000032</c:v>
                </c:pt>
                <c:pt idx="10">
                  <c:v>0.98000000000000032</c:v>
                </c:pt>
                <c:pt idx="11">
                  <c:v>0.98000000000000032</c:v>
                </c:pt>
                <c:pt idx="12">
                  <c:v>0.98000000000000032</c:v>
                </c:pt>
                <c:pt idx="13">
                  <c:v>0.98000000000000032</c:v>
                </c:pt>
              </c:numCache>
            </c:numRef>
          </c:val>
        </c:ser>
        <c:marker val="1"/>
        <c:axId val="146774656"/>
        <c:axId val="146792832"/>
      </c:lineChart>
      <c:catAx>
        <c:axId val="146774656"/>
        <c:scaling>
          <c:orientation val="minMax"/>
        </c:scaling>
        <c:axPos val="b"/>
        <c:numFmt formatCode="General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792832"/>
        <c:crosses val="autoZero"/>
        <c:auto val="1"/>
        <c:lblAlgn val="ctr"/>
        <c:lblOffset val="100"/>
      </c:catAx>
      <c:valAx>
        <c:axId val="146792832"/>
        <c:scaling>
          <c:orientation val="minMax"/>
          <c:max val="1.2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774656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6816957044271632"/>
          <c:y val="3.4966169206892828E-2"/>
          <c:w val="0.42646457068859539"/>
          <c:h val="8.391880609654309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Skill</a:t>
            </a:r>
            <a:r>
              <a:rPr lang="en-US" baseline="0"/>
              <a:t> Level Rate</a:t>
            </a:r>
            <a:endParaRPr lang="en-US"/>
          </a:p>
        </c:rich>
      </c:tx>
      <c:layout>
        <c:manualLayout>
          <c:xMode val="edge"/>
          <c:yMode val="edge"/>
          <c:x val="4.2614511895690523E-2"/>
          <c:y val="2.777779865822269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8787816089937004E-2"/>
          <c:y val="0.18121930822299331"/>
          <c:w val="0.91461718802406755"/>
          <c:h val="0.68350303947232349"/>
        </c:manualLayout>
      </c:layout>
      <c:barChart>
        <c:barDir val="col"/>
        <c:grouping val="stacked"/>
        <c:ser>
          <c:idx val="0"/>
          <c:order val="0"/>
          <c:tx>
            <c:strRef>
              <c:f>INDICES!$W$21</c:f>
              <c:strCache>
                <c:ptCount val="1"/>
                <c:pt idx="0">
                  <c:v>BEGINNER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INDICES!$X$20:$AK$20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INDICES!$X$21:$AK$21</c:f>
              <c:numCache>
                <c:formatCode>0%</c:formatCode>
                <c:ptCount val="14"/>
                <c:pt idx="1">
                  <c:v>7.407407407407407E-2</c:v>
                </c:pt>
              </c:numCache>
            </c:numRef>
          </c:val>
        </c:ser>
        <c:ser>
          <c:idx val="1"/>
          <c:order val="1"/>
          <c:tx>
            <c:strRef>
              <c:f>INDICES!$W$22</c:f>
              <c:strCache>
                <c:ptCount val="1"/>
                <c:pt idx="0">
                  <c:v>JUNIOR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INDICES!$X$20:$AK$20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INDICES!$X$22:$AK$22</c:f>
              <c:numCache>
                <c:formatCode>0%</c:formatCode>
                <c:ptCount val="14"/>
                <c:pt idx="1">
                  <c:v>0.14814814814814814</c:v>
                </c:pt>
              </c:numCache>
            </c:numRef>
          </c:val>
        </c:ser>
        <c:ser>
          <c:idx val="2"/>
          <c:order val="2"/>
          <c:tx>
            <c:strRef>
              <c:f>INDICES!$W$23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dLbls>
            <c:spPr>
              <a:noFill/>
              <a:ln w="25400">
                <a:noFill/>
              </a:ln>
            </c:spPr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INDICES!$X$20:$AK$20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INDICES!$X$23:$AK$23</c:f>
              <c:numCache>
                <c:formatCode>0%</c:formatCode>
                <c:ptCount val="14"/>
                <c:pt idx="1">
                  <c:v>0.55555555555555558</c:v>
                </c:pt>
              </c:numCache>
            </c:numRef>
          </c:val>
        </c:ser>
        <c:ser>
          <c:idx val="3"/>
          <c:order val="3"/>
          <c:tx>
            <c:strRef>
              <c:f>INDICES!$W$24</c:f>
              <c:strCache>
                <c:ptCount val="1"/>
                <c:pt idx="0">
                  <c:v>SPECIALIST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INDICES!$X$20:$AK$20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INDICES!$X$24:$AK$24</c:f>
              <c:numCache>
                <c:formatCode>0%</c:formatCode>
                <c:ptCount val="14"/>
                <c:pt idx="1">
                  <c:v>0.22222222222222221</c:v>
                </c:pt>
              </c:numCache>
            </c:numRef>
          </c:val>
        </c:ser>
        <c:gapWidth val="50"/>
        <c:overlap val="100"/>
        <c:axId val="146952576"/>
        <c:axId val="146954112"/>
      </c:barChart>
      <c:lineChart>
        <c:grouping val="standard"/>
        <c:ser>
          <c:idx val="4"/>
          <c:order val="4"/>
          <c:tx>
            <c:strRef>
              <c:f>INDICES!$W$26</c:f>
              <c:strCache>
                <c:ptCount val="1"/>
                <c:pt idx="0">
                  <c:v>TARGET (SENIOR ONLY)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INDICES!$X$20:$AK$20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INDICES!$X$26:$AK$26</c:f>
              <c:numCache>
                <c:formatCode>0%</c:formatCode>
                <c:ptCount val="14"/>
                <c:pt idx="2">
                  <c:v>0.56666666666666665</c:v>
                </c:pt>
                <c:pt idx="3">
                  <c:v>0.56666666666666665</c:v>
                </c:pt>
                <c:pt idx="4">
                  <c:v>0.56666666666666665</c:v>
                </c:pt>
                <c:pt idx="5">
                  <c:v>0.57777777777777772</c:v>
                </c:pt>
                <c:pt idx="6">
                  <c:v>0.57777777777777772</c:v>
                </c:pt>
                <c:pt idx="7">
                  <c:v>0.57777777777777772</c:v>
                </c:pt>
                <c:pt idx="8">
                  <c:v>0.5888888888888888</c:v>
                </c:pt>
                <c:pt idx="9">
                  <c:v>0.5888888888888888</c:v>
                </c:pt>
                <c:pt idx="10">
                  <c:v>0.5888888888888888</c:v>
                </c:pt>
                <c:pt idx="11">
                  <c:v>0.59999999999999987</c:v>
                </c:pt>
                <c:pt idx="12">
                  <c:v>0.59999999999999987</c:v>
                </c:pt>
                <c:pt idx="13">
                  <c:v>0.59999999999999987</c:v>
                </c:pt>
              </c:numCache>
            </c:numRef>
          </c:val>
        </c:ser>
        <c:marker val="1"/>
        <c:axId val="146952576"/>
        <c:axId val="146954112"/>
      </c:lineChart>
      <c:catAx>
        <c:axId val="14695257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954112"/>
        <c:crosses val="autoZero"/>
        <c:auto val="1"/>
        <c:lblAlgn val="ctr"/>
        <c:lblOffset val="100"/>
      </c:catAx>
      <c:valAx>
        <c:axId val="146954112"/>
        <c:scaling>
          <c:orientation val="minMax"/>
          <c:max val="1.2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952576"/>
        <c:crosses val="autoZero"/>
        <c:crossBetween val="between"/>
        <c:majorUnit val="0.2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0054862641037228"/>
          <c:y val="2.0979701524135776E-2"/>
          <c:w val="0.67387584396944722"/>
          <c:h val="0.12587820914481418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RDOT per MAN</a:t>
            </a:r>
          </a:p>
        </c:rich>
      </c:tx>
      <c:layout>
        <c:manualLayout>
          <c:xMode val="edge"/>
          <c:yMode val="edge"/>
          <c:x val="4.2614456976661733E-2"/>
          <c:y val="2.77776527934008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4.8903199781792667E-2"/>
          <c:y val="0.22268892166306567"/>
          <c:w val="0.93234450205535901"/>
          <c:h val="0.64203342603225055"/>
        </c:manualLayout>
      </c:layout>
      <c:barChart>
        <c:barDir val="col"/>
        <c:grouping val="clustered"/>
        <c:ser>
          <c:idx val="0"/>
          <c:order val="0"/>
          <c:tx>
            <c:strRef>
              <c:f>INDICES!$W$96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INDICES!$X$95:$AK$95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INDICES!$X$96:$AK$96</c:f>
              <c:numCache>
                <c:formatCode>0</c:formatCode>
                <c:ptCount val="14"/>
                <c:pt idx="1">
                  <c:v>5.8863636363636367</c:v>
                </c:pt>
              </c:numCache>
            </c:numRef>
          </c:val>
        </c:ser>
        <c:ser>
          <c:idx val="1"/>
          <c:order val="1"/>
          <c:tx>
            <c:strRef>
              <c:f>INDICES!$W$97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INDICES!$X$95:$AK$95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INDICES!$X$97:$AK$97</c:f>
              <c:numCache>
                <c:formatCode>0</c:formatCode>
                <c:ptCount val="14"/>
                <c:pt idx="1">
                  <c:v>4.3939393939393936</c:v>
                </c:pt>
              </c:numCache>
            </c:numRef>
          </c:val>
        </c:ser>
        <c:ser>
          <c:idx val="2"/>
          <c:order val="2"/>
          <c:tx>
            <c:strRef>
              <c:f>INDICES!$W$98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INDICES!$X$95:$AK$95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INDICES!$X$98:$AK$98</c:f>
              <c:numCache>
                <c:formatCode>0</c:formatCode>
                <c:ptCount val="14"/>
                <c:pt idx="1">
                  <c:v>3.3090909090909091</c:v>
                </c:pt>
              </c:numCache>
            </c:numRef>
          </c:val>
        </c:ser>
        <c:ser>
          <c:idx val="3"/>
          <c:order val="3"/>
          <c:tx>
            <c:strRef>
              <c:f>INDICES!$W$99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INDICES!$X$95:$AK$95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INDICES!$X$99:$AK$99</c:f>
              <c:numCache>
                <c:formatCode>0</c:formatCode>
                <c:ptCount val="14"/>
                <c:pt idx="1">
                  <c:v>5.1969696969696964</c:v>
                </c:pt>
              </c:numCache>
            </c:numRef>
          </c:val>
        </c:ser>
        <c:ser>
          <c:idx val="4"/>
          <c:order val="5"/>
          <c:tx>
            <c:strRef>
              <c:f>INDICES!$W$100</c:f>
              <c:strCache>
                <c:ptCount val="1"/>
                <c:pt idx="0">
                  <c:v>PM-CM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:spPr>
          <c:cat>
            <c:strRef>
              <c:f>INDICES!$X$95:$AK$95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INDICES!$X$100:$AK$100</c:f>
              <c:numCache>
                <c:formatCode>0</c:formatCode>
                <c:ptCount val="14"/>
                <c:pt idx="1">
                  <c:v>9.3333333333333321</c:v>
                </c:pt>
              </c:numCache>
            </c:numRef>
          </c:val>
        </c:ser>
        <c:axId val="111848448"/>
        <c:axId val="108593920"/>
      </c:barChart>
      <c:lineChart>
        <c:grouping val="standard"/>
        <c:ser>
          <c:idx val="6"/>
          <c:order val="4"/>
          <c:tx>
            <c:strRef>
              <c:f>INDICES!$W$101</c:f>
              <c:strCache>
                <c:ptCount val="1"/>
                <c:pt idx="0">
                  <c:v>AVERAGE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INDICES!$X$95:$AK$95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INDICES!$X$101:$AK$101</c:f>
              <c:numCache>
                <c:formatCode>0</c:formatCode>
                <c:ptCount val="14"/>
                <c:pt idx="1">
                  <c:v>5.6239393939393931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5"/>
          <c:order val="6"/>
          <c:tx>
            <c:strRef>
              <c:f>INDICES!$W$102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INDICES!$X$95:$AK$95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INDICES!$X$102:$AK$102</c:f>
              <c:numCache>
                <c:formatCode>0</c:formatCode>
                <c:ptCount val="14"/>
              </c:numCache>
            </c:numRef>
          </c:val>
        </c:ser>
        <c:marker val="1"/>
        <c:axId val="111848448"/>
        <c:axId val="108593920"/>
      </c:lineChart>
      <c:catAx>
        <c:axId val="11184844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593920"/>
        <c:crosses val="autoZero"/>
        <c:auto val="1"/>
        <c:lblAlgn val="ctr"/>
        <c:lblOffset val="100"/>
      </c:catAx>
      <c:valAx>
        <c:axId val="108593920"/>
        <c:scaling>
          <c:orientation val="minMax"/>
          <c:max val="20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1848448"/>
        <c:crosses val="autoZero"/>
        <c:crossBetween val="between"/>
        <c:majorUnit val="5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6537021064240965"/>
          <c:y val="1.7422136321411201E-2"/>
          <c:w val="0.61706968908495641"/>
          <c:h val="0.18119021774267641"/>
        </c:manualLayout>
      </c:layout>
      <c:spPr>
        <a:noFill/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H-I-V Submission</a:t>
            </a:r>
          </a:p>
        </c:rich>
      </c:tx>
      <c:layout>
        <c:manualLayout>
          <c:xMode val="edge"/>
          <c:yMode val="edge"/>
          <c:x val="4.2614540776657744E-2"/>
          <c:y val="2.777779865822269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4270059278100156E-2"/>
          <c:y val="0.22268892166306567"/>
          <c:w val="0.92522798125687244"/>
          <c:h val="0.64203342603225055"/>
        </c:manualLayout>
      </c:layout>
      <c:barChart>
        <c:barDir val="col"/>
        <c:grouping val="clustered"/>
        <c:ser>
          <c:idx val="0"/>
          <c:order val="0"/>
          <c:tx>
            <c:strRef>
              <c:f>INDICES!$W$105</c:f>
              <c:strCache>
                <c:ptCount val="1"/>
                <c:pt idx="0">
                  <c:v>ISIP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INDICES!$X$104:$AK$104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INDICES!$X$105:$AK$105</c:f>
              <c:numCache>
                <c:formatCode>0</c:formatCode>
                <c:ptCount val="14"/>
                <c:pt idx="1">
                  <c:v>20.583333333333332</c:v>
                </c:pt>
              </c:numCache>
            </c:numRef>
          </c:val>
        </c:ser>
        <c:ser>
          <c:idx val="1"/>
          <c:order val="1"/>
          <c:tx>
            <c:strRef>
              <c:f>INDICES!$W$106</c:f>
              <c:strCache>
                <c:ptCount val="1"/>
                <c:pt idx="0">
                  <c:v>VOG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INDICES!$X$104:$AK$104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INDICES!$X$106:$AK$106</c:f>
              <c:numCache>
                <c:formatCode>0</c:formatCode>
                <c:ptCount val="14"/>
                <c:pt idx="1">
                  <c:v>20</c:v>
                </c:pt>
              </c:numCache>
            </c:numRef>
          </c:val>
        </c:ser>
        <c:ser>
          <c:idx val="2"/>
          <c:order val="2"/>
          <c:tx>
            <c:strRef>
              <c:f>INDICES!$W$107</c:f>
              <c:strCache>
                <c:ptCount val="1"/>
                <c:pt idx="0">
                  <c:v>Hiyari Hatto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INDICES!$X$104:$AK$104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INDICES!$X$107:$AK$107</c:f>
              <c:numCache>
                <c:formatCode>0</c:formatCode>
                <c:ptCount val="14"/>
                <c:pt idx="1">
                  <c:v>19.75</c:v>
                </c:pt>
              </c:numCache>
            </c:numRef>
          </c:val>
        </c:ser>
        <c:axId val="108612608"/>
        <c:axId val="108630784"/>
      </c:barChart>
      <c:lineChart>
        <c:grouping val="standard"/>
        <c:ser>
          <c:idx val="6"/>
          <c:order val="3"/>
          <c:tx>
            <c:strRef>
              <c:f>INDICES!$W$108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INDICES!$X$104:$AK$104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INDICES!$X$108:$AK$108</c:f>
              <c:numCache>
                <c:formatCode>0</c:formatCode>
                <c:ptCount val="14"/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</c:numCache>
            </c:numRef>
          </c:val>
        </c:ser>
        <c:marker val="1"/>
        <c:axId val="108612608"/>
        <c:axId val="108630784"/>
      </c:lineChart>
      <c:catAx>
        <c:axId val="10861260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630784"/>
        <c:crosses val="autoZero"/>
        <c:auto val="1"/>
        <c:lblAlgn val="ctr"/>
        <c:lblOffset val="100"/>
      </c:catAx>
      <c:valAx>
        <c:axId val="108630784"/>
        <c:scaling>
          <c:orientation val="minMax"/>
          <c:max val="30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612608"/>
        <c:crosses val="autoZero"/>
        <c:crossBetween val="between"/>
        <c:majorUnit val="5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7922957077055502"/>
          <c:y val="4.5297554435669095E-2"/>
          <c:w val="0.61540457036075691"/>
          <c:h val="7.317297254992701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Periodic Inspection Rate</a:t>
            </a:r>
          </a:p>
        </c:rich>
      </c:tx>
      <c:layout>
        <c:manualLayout>
          <c:xMode val="edge"/>
          <c:yMode val="edge"/>
          <c:x val="4.2614456976661733E-2"/>
          <c:y val="2.77778816840295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8472639301859789E-2"/>
          <c:y val="0.17661162146398368"/>
          <c:w val="0.92079289654582896"/>
          <c:h val="0.68811060075823849"/>
        </c:manualLayout>
      </c:layout>
      <c:barChart>
        <c:barDir val="col"/>
        <c:grouping val="clustered"/>
        <c:ser>
          <c:idx val="0"/>
          <c:order val="0"/>
          <c:tx>
            <c:strRef>
              <c:f>INDICES!$W$33</c:f>
              <c:strCache>
                <c:ptCount val="1"/>
                <c:pt idx="0">
                  <c:v>COMPLIANCE RATE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INDICES!$X$28:$AK$28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INDICES!$X$33:$AK$33</c:f>
              <c:numCache>
                <c:formatCode>0%</c:formatCode>
                <c:ptCount val="14"/>
                <c:pt idx="0">
                  <c:v>0.5</c:v>
                </c:pt>
                <c:pt idx="1">
                  <c:v>0.94899999999999995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50"/>
        <c:axId val="109316736"/>
        <c:axId val="109355392"/>
      </c:barChart>
      <c:lineChart>
        <c:grouping val="standard"/>
        <c:ser>
          <c:idx val="4"/>
          <c:order val="1"/>
          <c:tx>
            <c:strRef>
              <c:f>INDICES!$W$34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INDICES!$X$28:$AK$28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  <c:pt idx="12">
                  <c:v>FEB</c:v>
                </c:pt>
                <c:pt idx="13">
                  <c:v>MAR</c:v>
                </c:pt>
              </c:strCache>
            </c:strRef>
          </c:cat>
          <c:val>
            <c:numRef>
              <c:f>INDICES!$X$34:$AK$34</c:f>
              <c:numCache>
                <c:formatCode>0%</c:formatCode>
                <c:ptCount val="14"/>
                <c:pt idx="1">
                  <c:v>0.78062500000000001</c:v>
                </c:pt>
                <c:pt idx="2">
                  <c:v>0.96174999999999999</c:v>
                </c:pt>
                <c:pt idx="3">
                  <c:v>0.96174999999999999</c:v>
                </c:pt>
                <c:pt idx="4">
                  <c:v>0.96174999999999999</c:v>
                </c:pt>
                <c:pt idx="5">
                  <c:v>0.97450000000000003</c:v>
                </c:pt>
                <c:pt idx="6">
                  <c:v>0.97450000000000003</c:v>
                </c:pt>
                <c:pt idx="7">
                  <c:v>0.97450000000000003</c:v>
                </c:pt>
                <c:pt idx="8">
                  <c:v>0.98725000000000007</c:v>
                </c:pt>
                <c:pt idx="9">
                  <c:v>0.98725000000000007</c:v>
                </c:pt>
                <c:pt idx="10">
                  <c:v>0.98725000000000007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marker val="1"/>
        <c:axId val="109316736"/>
        <c:axId val="109355392"/>
      </c:lineChart>
      <c:catAx>
        <c:axId val="109316736"/>
        <c:scaling>
          <c:orientation val="minMax"/>
        </c:scaling>
        <c:axPos val="b"/>
        <c:numFmt formatCode="General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9355392"/>
        <c:crosses val="autoZero"/>
        <c:auto val="1"/>
        <c:lblAlgn val="ctr"/>
        <c:lblOffset val="100"/>
      </c:catAx>
      <c:valAx>
        <c:axId val="109355392"/>
        <c:scaling>
          <c:orientation val="minMax"/>
          <c:max val="1.2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9316736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6835366099930196"/>
          <c:y val="3.8195742299966196E-2"/>
          <c:w val="0.42626524574947688"/>
          <c:h val="8.333616501810806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Re-occuring BM</a:t>
            </a:r>
          </a:p>
        </c:rich>
      </c:tx>
      <c:layout>
        <c:manualLayout>
          <c:xMode val="edge"/>
          <c:yMode val="edge"/>
          <c:x val="4.2614511895690523E-2"/>
          <c:y val="2.777771483600521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5913316243653192E-2"/>
          <c:y val="0.17661157339631778"/>
          <c:w val="0.92079289654582896"/>
          <c:h val="0.70193397877902286"/>
        </c:manualLayout>
      </c:layout>
      <c:barChart>
        <c:barDir val="col"/>
        <c:grouping val="clustered"/>
        <c:ser>
          <c:idx val="0"/>
          <c:order val="0"/>
          <c:tx>
            <c:strRef>
              <c:f>INDICES!$A$103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INDICES!$B$103:$P$103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INDICES!$A$104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INDICES!$B$104:$P$104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INDICES!$A$105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INDICES!$B$105:$P$105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INDICES!$A$106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INDICES!$B$106:$P$106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50"/>
        <c:axId val="99853440"/>
        <c:axId val="99854976"/>
      </c:barChart>
      <c:lineChart>
        <c:grouping val="standard"/>
        <c:ser>
          <c:idx val="4"/>
          <c:order val="4"/>
          <c:tx>
            <c:strRef>
              <c:f>INDICES!$A$108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INDICES!$B$108:$P$108</c:f>
              <c:numCache>
                <c:formatCode>0</c:formatCode>
                <c:ptCount val="15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5"/>
          <c:order val="5"/>
          <c:tx>
            <c:strRef>
              <c:f>INDICES!$A$107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INDICES!$B$107:$P$107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99853440"/>
        <c:axId val="99854976"/>
      </c:lineChart>
      <c:catAx>
        <c:axId val="9985344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9854976"/>
        <c:crosses val="autoZero"/>
        <c:auto val="1"/>
        <c:lblAlgn val="ctr"/>
        <c:lblOffset val="100"/>
      </c:catAx>
      <c:valAx>
        <c:axId val="998549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9853440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5607282070838894"/>
          <c:y val="4.8952636889650097E-2"/>
          <c:w val="0.73856792499051127"/>
          <c:h val="8.3918806096543092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Quality</a:t>
            </a:r>
            <a:r>
              <a:rPr lang="en-US" baseline="0"/>
              <a:t> Issue</a:t>
            </a:r>
            <a:r>
              <a:rPr lang="en-US"/>
              <a:t> BM</a:t>
            </a:r>
          </a:p>
        </c:rich>
      </c:tx>
      <c:layout>
        <c:manualLayout>
          <c:xMode val="edge"/>
          <c:yMode val="edge"/>
          <c:x val="4.2614511895690523E-2"/>
          <c:y val="2.777771483600521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5913316243653192E-2"/>
          <c:y val="0.17661157339631778"/>
          <c:w val="0.92079289654582941"/>
          <c:h val="0.70193397877902286"/>
        </c:manualLayout>
      </c:layout>
      <c:barChart>
        <c:barDir val="col"/>
        <c:grouping val="clustered"/>
        <c:ser>
          <c:idx val="0"/>
          <c:order val="0"/>
          <c:tx>
            <c:strRef>
              <c:f>INDICES!$A$111</c:f>
              <c:strCache>
                <c:ptCount val="1"/>
                <c:pt idx="0">
                  <c:v>LSI 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INDICES!$B$111:$P$111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INDICES!$A$112</c:f>
              <c:strCache>
                <c:ptCount val="1"/>
                <c:pt idx="0">
                  <c:v>LSI 2 1F-2F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INDICES!$B$112:$P$112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2"/>
          <c:order val="2"/>
          <c:tx>
            <c:strRef>
              <c:f>INDICES!$A$113</c:f>
              <c:strCache>
                <c:ptCount val="1"/>
                <c:pt idx="0">
                  <c:v>LSI 2 3F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INDICES!$B$113:$P$113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3"/>
          <c:order val="3"/>
          <c:tx>
            <c:strRef>
              <c:f>INDICES!$A$114</c:f>
              <c:strCache>
                <c:ptCount val="1"/>
                <c:pt idx="0">
                  <c:v>LSI 3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cat>
            <c:strRef>
              <c:f>INDICES!$B$102:$P$102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INDICES!$B$114:$P$114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50"/>
        <c:axId val="99790208"/>
        <c:axId val="100336768"/>
      </c:barChart>
      <c:lineChart>
        <c:grouping val="standard"/>
        <c:ser>
          <c:idx val="4"/>
          <c:order val="4"/>
          <c:tx>
            <c:strRef>
              <c:f>INDICES!$A$116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strRef>
              <c:f>INDICES!$B$110:$P$110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INDICES!$B$116:$P$116</c:f>
              <c:numCache>
                <c:formatCode>0</c:formatCode>
                <c:ptCount val="15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5"/>
          <c:order val="5"/>
          <c:tx>
            <c:strRef>
              <c:f>INDICES!$A$115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INDICES!$B$110:$P$110</c:f>
              <c:strCach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INDICES!$B$115:$P$115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99790208"/>
        <c:axId val="100336768"/>
      </c:lineChart>
      <c:catAx>
        <c:axId val="9979020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0336768"/>
        <c:crosses val="autoZero"/>
        <c:auto val="1"/>
        <c:lblAlgn val="ctr"/>
        <c:lblOffset val="100"/>
      </c:catAx>
      <c:valAx>
        <c:axId val="10033676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9790208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5607282070838894"/>
          <c:y val="4.8952636889650118E-2"/>
          <c:w val="0.73856792499051127"/>
          <c:h val="8.3918806096543119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9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99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 b="1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18" Type="http://schemas.openxmlformats.org/officeDocument/2006/relationships/chart" Target="../charts/chart2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57150</xdr:rowOff>
    </xdr:from>
    <xdr:to>
      <xdr:col>17</xdr:col>
      <xdr:colOff>247650</xdr:colOff>
      <xdr:row>15</xdr:row>
      <xdr:rowOff>152400</xdr:rowOff>
    </xdr:to>
    <xdr:graphicFrame macro="">
      <xdr:nvGraphicFramePr>
        <xdr:cNvPr id="451909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17</xdr:col>
      <xdr:colOff>247650</xdr:colOff>
      <xdr:row>30</xdr:row>
      <xdr:rowOff>85725</xdr:rowOff>
    </xdr:to>
    <xdr:graphicFrame macro="">
      <xdr:nvGraphicFramePr>
        <xdr:cNvPr id="451910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161925</xdr:rowOff>
    </xdr:from>
    <xdr:to>
      <xdr:col>17</xdr:col>
      <xdr:colOff>247650</xdr:colOff>
      <xdr:row>45</xdr:row>
      <xdr:rowOff>57150</xdr:rowOff>
    </xdr:to>
    <xdr:graphicFrame macro="">
      <xdr:nvGraphicFramePr>
        <xdr:cNvPr id="451911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45</xdr:row>
      <xdr:rowOff>123825</xdr:rowOff>
    </xdr:from>
    <xdr:to>
      <xdr:col>17</xdr:col>
      <xdr:colOff>247650</xdr:colOff>
      <xdr:row>60</xdr:row>
      <xdr:rowOff>19050</xdr:rowOff>
    </xdr:to>
    <xdr:graphicFrame macro="">
      <xdr:nvGraphicFramePr>
        <xdr:cNvPr id="451912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371475</xdr:colOff>
      <xdr:row>14</xdr:row>
      <xdr:rowOff>57150</xdr:rowOff>
    </xdr:to>
    <xdr:graphicFrame macro="">
      <xdr:nvGraphicFramePr>
        <xdr:cNvPr id="5318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142875</xdr:rowOff>
    </xdr:from>
    <xdr:to>
      <xdr:col>11</xdr:col>
      <xdr:colOff>371475</xdr:colOff>
      <xdr:row>29</xdr:row>
      <xdr:rowOff>19050</xdr:rowOff>
    </xdr:to>
    <xdr:graphicFrame macro="">
      <xdr:nvGraphicFramePr>
        <xdr:cNvPr id="531801" name="Chart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114300</xdr:rowOff>
    </xdr:from>
    <xdr:to>
      <xdr:col>11</xdr:col>
      <xdr:colOff>371475</xdr:colOff>
      <xdr:row>43</xdr:row>
      <xdr:rowOff>171450</xdr:rowOff>
    </xdr:to>
    <xdr:graphicFrame macro="">
      <xdr:nvGraphicFramePr>
        <xdr:cNvPr id="531802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476250</xdr:colOff>
      <xdr:row>0</xdr:row>
      <xdr:rowOff>0</xdr:rowOff>
    </xdr:from>
    <xdr:to>
      <xdr:col>23</xdr:col>
      <xdr:colOff>238125</xdr:colOff>
      <xdr:row>14</xdr:row>
      <xdr:rowOff>57150</xdr:rowOff>
    </xdr:to>
    <xdr:graphicFrame macro="">
      <xdr:nvGraphicFramePr>
        <xdr:cNvPr id="531803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485775</xdr:colOff>
      <xdr:row>14</xdr:row>
      <xdr:rowOff>142875</xdr:rowOff>
    </xdr:from>
    <xdr:to>
      <xdr:col>23</xdr:col>
      <xdr:colOff>247650</xdr:colOff>
      <xdr:row>29</xdr:row>
      <xdr:rowOff>28575</xdr:rowOff>
    </xdr:to>
    <xdr:graphicFrame macro="">
      <xdr:nvGraphicFramePr>
        <xdr:cNvPr id="531804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371475</xdr:colOff>
      <xdr:row>0</xdr:row>
      <xdr:rowOff>0</xdr:rowOff>
    </xdr:from>
    <xdr:to>
      <xdr:col>35</xdr:col>
      <xdr:colOff>104775</xdr:colOff>
      <xdr:row>14</xdr:row>
      <xdr:rowOff>57150</xdr:rowOff>
    </xdr:to>
    <xdr:graphicFrame macro="">
      <xdr:nvGraphicFramePr>
        <xdr:cNvPr id="531805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381000</xdr:colOff>
      <xdr:row>14</xdr:row>
      <xdr:rowOff>142875</xdr:rowOff>
    </xdr:from>
    <xdr:to>
      <xdr:col>35</xdr:col>
      <xdr:colOff>114300</xdr:colOff>
      <xdr:row>29</xdr:row>
      <xdr:rowOff>9525</xdr:rowOff>
    </xdr:to>
    <xdr:graphicFrame macro="">
      <xdr:nvGraphicFramePr>
        <xdr:cNvPr id="531806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390525</xdr:colOff>
      <xdr:row>29</xdr:row>
      <xdr:rowOff>95250</xdr:rowOff>
    </xdr:from>
    <xdr:to>
      <xdr:col>35</xdr:col>
      <xdr:colOff>123825</xdr:colOff>
      <xdr:row>43</xdr:row>
      <xdr:rowOff>161925</xdr:rowOff>
    </xdr:to>
    <xdr:graphicFrame macro="">
      <xdr:nvGraphicFramePr>
        <xdr:cNvPr id="531807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190500</xdr:colOff>
      <xdr:row>0</xdr:row>
      <xdr:rowOff>0</xdr:rowOff>
    </xdr:from>
    <xdr:to>
      <xdr:col>46</xdr:col>
      <xdr:colOff>542925</xdr:colOff>
      <xdr:row>14</xdr:row>
      <xdr:rowOff>57150</xdr:rowOff>
    </xdr:to>
    <xdr:graphicFrame macro="">
      <xdr:nvGraphicFramePr>
        <xdr:cNvPr id="531808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190500</xdr:colOff>
      <xdr:row>14</xdr:row>
      <xdr:rowOff>142875</xdr:rowOff>
    </xdr:from>
    <xdr:to>
      <xdr:col>46</xdr:col>
      <xdr:colOff>552450</xdr:colOff>
      <xdr:row>29</xdr:row>
      <xdr:rowOff>9525</xdr:rowOff>
    </xdr:to>
    <xdr:graphicFrame macro="">
      <xdr:nvGraphicFramePr>
        <xdr:cNvPr id="531809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495300</xdr:colOff>
      <xdr:row>29</xdr:row>
      <xdr:rowOff>123825</xdr:rowOff>
    </xdr:from>
    <xdr:to>
      <xdr:col>23</xdr:col>
      <xdr:colOff>257175</xdr:colOff>
      <xdr:row>44</xdr:row>
      <xdr:rowOff>0</xdr:rowOff>
    </xdr:to>
    <xdr:graphicFrame macro="">
      <xdr:nvGraphicFramePr>
        <xdr:cNvPr id="531810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47</xdr:col>
      <xdr:colOff>38100</xdr:colOff>
      <xdr:row>0</xdr:row>
      <xdr:rowOff>0</xdr:rowOff>
    </xdr:from>
    <xdr:to>
      <xdr:col>58</xdr:col>
      <xdr:colOff>390525</xdr:colOff>
      <xdr:row>14</xdr:row>
      <xdr:rowOff>57150</xdr:rowOff>
    </xdr:to>
    <xdr:graphicFrame macro="">
      <xdr:nvGraphicFramePr>
        <xdr:cNvPr id="531811" name="Chart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47</xdr:col>
      <xdr:colOff>47625</xdr:colOff>
      <xdr:row>14</xdr:row>
      <xdr:rowOff>152400</xdr:rowOff>
    </xdr:from>
    <xdr:to>
      <xdr:col>58</xdr:col>
      <xdr:colOff>409575</xdr:colOff>
      <xdr:row>29</xdr:row>
      <xdr:rowOff>19050</xdr:rowOff>
    </xdr:to>
    <xdr:graphicFrame macro="">
      <xdr:nvGraphicFramePr>
        <xdr:cNvPr id="531812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58</xdr:col>
      <xdr:colOff>485775</xdr:colOff>
      <xdr:row>14</xdr:row>
      <xdr:rowOff>142875</xdr:rowOff>
    </xdr:from>
    <xdr:to>
      <xdr:col>70</xdr:col>
      <xdr:colOff>209550</xdr:colOff>
      <xdr:row>29</xdr:row>
      <xdr:rowOff>19050</xdr:rowOff>
    </xdr:to>
    <xdr:graphicFrame macro="">
      <xdr:nvGraphicFramePr>
        <xdr:cNvPr id="531813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58</xdr:col>
      <xdr:colOff>452439</xdr:colOff>
      <xdr:row>29</xdr:row>
      <xdr:rowOff>100013</xdr:rowOff>
    </xdr:from>
    <xdr:to>
      <xdr:col>70</xdr:col>
      <xdr:colOff>166689</xdr:colOff>
      <xdr:row>43</xdr:row>
      <xdr:rowOff>166688</xdr:rowOff>
    </xdr:to>
    <xdr:graphicFrame macro="">
      <xdr:nvGraphicFramePr>
        <xdr:cNvPr id="531814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58</xdr:col>
      <xdr:colOff>485775</xdr:colOff>
      <xdr:row>0</xdr:row>
      <xdr:rowOff>0</xdr:rowOff>
    </xdr:from>
    <xdr:to>
      <xdr:col>70</xdr:col>
      <xdr:colOff>209550</xdr:colOff>
      <xdr:row>14</xdr:row>
      <xdr:rowOff>76200</xdr:rowOff>
    </xdr:to>
    <xdr:graphicFrame macro="">
      <xdr:nvGraphicFramePr>
        <xdr:cNvPr id="531815" name="Chart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35</xdr:col>
      <xdr:colOff>209550</xdr:colOff>
      <xdr:row>29</xdr:row>
      <xdr:rowOff>95250</xdr:rowOff>
    </xdr:from>
    <xdr:to>
      <xdr:col>46</xdr:col>
      <xdr:colOff>571500</xdr:colOff>
      <xdr:row>43</xdr:row>
      <xdr:rowOff>152400</xdr:rowOff>
    </xdr:to>
    <xdr:graphicFrame macro="">
      <xdr:nvGraphicFramePr>
        <xdr:cNvPr id="531816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23812</xdr:colOff>
      <xdr:row>29</xdr:row>
      <xdr:rowOff>119063</xdr:rowOff>
    </xdr:from>
    <xdr:to>
      <xdr:col>58</xdr:col>
      <xdr:colOff>385762</xdr:colOff>
      <xdr:row>43</xdr:row>
      <xdr:rowOff>176213</xdr:rowOff>
    </xdr:to>
    <xdr:graphicFrame macro="">
      <xdr:nvGraphicFramePr>
        <xdr:cNvPr id="19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CHINE/erick/proyekto/kaizen%20sample/tp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ecky/tpgqc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INDOWS/TEMP/TWAPWR%20CS-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14.2&#26376;NS&#22238;&#31572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/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/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/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/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/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/>
          </cell>
          <cell r="AN15" t="str">
            <v/>
          </cell>
          <cell r="AO15" t="str">
            <v>R</v>
          </cell>
          <cell r="AP15" t="str">
            <v>T</v>
          </cell>
          <cell r="AQ15" t="str">
            <v/>
          </cell>
          <cell r="AR15" t="str">
            <v/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/>
          </cell>
          <cell r="AO16" t="str">
            <v>E</v>
          </cell>
          <cell r="AP16" t="str">
            <v>R</v>
          </cell>
          <cell r="AQ16" t="str">
            <v/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/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/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/>
          </cell>
          <cell r="N19" t="str">
            <v/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/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/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/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/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/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/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/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/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</sheetNames>
    <sheetDataSet>
      <sheetData sheetId="0" refreshError="1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/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/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CA出荷予定"/>
      <sheetName val="LSI出荷予定１課"/>
      <sheetName val="LSI出荷予定２課２階"/>
      <sheetName val="LSI出荷予定２課１階"/>
      <sheetName val="投入計画"/>
      <sheetName val="投入可能数 (TOTAL)"/>
      <sheetName val="投入可能数１課 "/>
      <sheetName val="投入可能数 2課"/>
      <sheetName val="投入可能数３課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負荷率 (2)"/>
      <sheetName val="Sheet17"/>
      <sheetName val="工程かんばん (ｾﾙ用)"/>
      <sheetName val="LSI出荷予定Ｓ"/>
      <sheetName val="LSI出荷予定N"/>
      <sheetName val="LSI出荷予定 (TOTAL)"/>
      <sheetName val="投入可能数 (S)"/>
      <sheetName val="祭日"/>
    </sheetNames>
    <sheetDataSet>
      <sheetData sheetId="0"/>
      <sheetData sheetId="1"/>
      <sheetData sheetId="2"/>
      <sheetData sheetId="3"/>
      <sheetData sheetId="4">
        <row r="130">
          <cell r="B130" t="str">
            <v>FBGA112</v>
          </cell>
          <cell r="C130">
            <v>22</v>
          </cell>
          <cell r="D130">
            <v>0</v>
          </cell>
          <cell r="E130">
            <v>0</v>
          </cell>
        </row>
        <row r="131">
          <cell r="B131" t="str">
            <v>FBGA112-H</v>
          </cell>
          <cell r="C131">
            <v>0</v>
          </cell>
          <cell r="D131">
            <v>0</v>
          </cell>
          <cell r="E131">
            <v>0</v>
          </cell>
        </row>
        <row r="132">
          <cell r="B132" t="str">
            <v>FBGA64A</v>
          </cell>
        </row>
        <row r="133">
          <cell r="B133" t="str">
            <v>FBGA80A</v>
          </cell>
          <cell r="C133">
            <v>200</v>
          </cell>
          <cell r="D133">
            <v>160</v>
          </cell>
          <cell r="E133">
            <v>175</v>
          </cell>
        </row>
        <row r="134">
          <cell r="B134" t="str">
            <v>FBGA144</v>
          </cell>
          <cell r="C134">
            <v>0</v>
          </cell>
          <cell r="D134">
            <v>0</v>
          </cell>
          <cell r="E134">
            <v>0</v>
          </cell>
        </row>
        <row r="135">
          <cell r="B135" t="str">
            <v>FBGA220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FBGA192D</v>
          </cell>
          <cell r="C136">
            <v>0</v>
          </cell>
          <cell r="D136">
            <v>0</v>
          </cell>
          <cell r="E136">
            <v>0</v>
          </cell>
        </row>
        <row r="137">
          <cell r="B137" t="str">
            <v>VFBGA161T8</v>
          </cell>
          <cell r="C137">
            <v>5</v>
          </cell>
          <cell r="D137">
            <v>100</v>
          </cell>
          <cell r="E137">
            <v>320</v>
          </cell>
        </row>
        <row r="138">
          <cell r="B138" t="str">
            <v>SFBGA168B</v>
          </cell>
          <cell r="C138">
            <v>2</v>
          </cell>
          <cell r="D138">
            <v>2</v>
          </cell>
          <cell r="E138">
            <v>2</v>
          </cell>
        </row>
        <row r="139">
          <cell r="B139" t="str">
            <v>VFBGA143C7</v>
          </cell>
          <cell r="C139">
            <v>0</v>
          </cell>
          <cell r="D139">
            <v>0</v>
          </cell>
          <cell r="E139">
            <v>0</v>
          </cell>
        </row>
        <row r="140">
          <cell r="B140" t="str">
            <v>FLGA12V3</v>
          </cell>
          <cell r="C140">
            <v>2001</v>
          </cell>
          <cell r="D140">
            <v>2501</v>
          </cell>
          <cell r="E140">
            <v>3001</v>
          </cell>
        </row>
        <row r="141">
          <cell r="B141" t="str">
            <v>VFLGA80V7</v>
          </cell>
          <cell r="C141">
            <v>106</v>
          </cell>
          <cell r="D141">
            <v>241</v>
          </cell>
          <cell r="E141">
            <v>321</v>
          </cell>
        </row>
        <row r="142">
          <cell r="B142" t="str">
            <v>VFLGA128V7</v>
          </cell>
          <cell r="C142">
            <v>1772</v>
          </cell>
          <cell r="D142">
            <v>1977</v>
          </cell>
          <cell r="E142">
            <v>1825</v>
          </cell>
        </row>
        <row r="143">
          <cell r="B143" t="str">
            <v>VFLGA28V5</v>
          </cell>
          <cell r="C143">
            <v>0</v>
          </cell>
          <cell r="D143">
            <v>0</v>
          </cell>
          <cell r="E143">
            <v>0</v>
          </cell>
        </row>
        <row r="144">
          <cell r="B144" t="str">
            <v>VFBGA256TA</v>
          </cell>
          <cell r="C144">
            <v>10</v>
          </cell>
          <cell r="D144">
            <v>50</v>
          </cell>
          <cell r="E144">
            <v>400</v>
          </cell>
        </row>
        <row r="145">
          <cell r="B145" t="str">
            <v>VFBGA199T9</v>
          </cell>
          <cell r="C145">
            <v>420</v>
          </cell>
          <cell r="D145">
            <v>350</v>
          </cell>
          <cell r="E145">
            <v>150</v>
          </cell>
        </row>
        <row r="146">
          <cell r="B146" t="str">
            <v>VFBGA143T7</v>
          </cell>
          <cell r="C146">
            <v>7</v>
          </cell>
          <cell r="D146">
            <v>102</v>
          </cell>
          <cell r="E146">
            <v>322</v>
          </cell>
        </row>
        <row r="147">
          <cell r="B147" t="str">
            <v>VFLGA48V5</v>
          </cell>
          <cell r="C147">
            <v>1714</v>
          </cell>
          <cell r="D147">
            <v>2014</v>
          </cell>
          <cell r="E147">
            <v>2214</v>
          </cell>
        </row>
        <row r="148">
          <cell r="B148" t="str">
            <v>HTSSOP-D80</v>
          </cell>
          <cell r="C148">
            <v>0</v>
          </cell>
          <cell r="D148">
            <v>0</v>
          </cell>
          <cell r="E148">
            <v>0</v>
          </cell>
        </row>
        <row r="149">
          <cell r="B149" t="str">
            <v>VQFN16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VFLGA48R1</v>
          </cell>
          <cell r="C150">
            <v>200</v>
          </cell>
          <cell r="D150">
            <v>90</v>
          </cell>
          <cell r="E150">
            <v>50</v>
          </cell>
        </row>
        <row r="151">
          <cell r="B151" t="str">
            <v>VFBGA46R1</v>
          </cell>
          <cell r="C151">
            <v>1000</v>
          </cell>
          <cell r="D151">
            <v>350</v>
          </cell>
          <cell r="E151">
            <v>0</v>
          </cell>
        </row>
        <row r="152">
          <cell r="B152" t="str">
            <v>VFBGA6R1</v>
          </cell>
          <cell r="C152">
            <v>2000</v>
          </cell>
          <cell r="D152">
            <v>2500</v>
          </cell>
          <cell r="E152">
            <v>3500</v>
          </cell>
        </row>
        <row r="153">
          <cell r="B153" t="str">
            <v>VFBGA12R1</v>
          </cell>
          <cell r="C153">
            <v>0</v>
          </cell>
          <cell r="D153">
            <v>0</v>
          </cell>
          <cell r="E153">
            <v>0</v>
          </cell>
        </row>
        <row r="154">
          <cell r="B154" t="str">
            <v>VFLGA25R1</v>
          </cell>
          <cell r="C154">
            <v>2</v>
          </cell>
          <cell r="D154">
            <v>2</v>
          </cell>
          <cell r="E154">
            <v>2</v>
          </cell>
        </row>
        <row r="155">
          <cell r="B155" t="str">
            <v>VFBGA48R3</v>
          </cell>
          <cell r="C155">
            <v>750</v>
          </cell>
          <cell r="D155">
            <v>700</v>
          </cell>
          <cell r="E155">
            <v>700</v>
          </cell>
        </row>
        <row r="156">
          <cell r="B156" t="str">
            <v>VFBGA40R1</v>
          </cell>
          <cell r="C156">
            <v>0</v>
          </cell>
          <cell r="D156">
            <v>0</v>
          </cell>
          <cell r="E156">
            <v>0</v>
          </cell>
        </row>
        <row r="157">
          <cell r="B157" t="str">
            <v>VFBGA40R2</v>
          </cell>
          <cell r="C157">
            <v>681</v>
          </cell>
          <cell r="D157">
            <v>681</v>
          </cell>
          <cell r="E157">
            <v>551</v>
          </cell>
        </row>
        <row r="158">
          <cell r="B158" t="str">
            <v>VFBGA48R4</v>
          </cell>
        </row>
        <row r="159">
          <cell r="B159" t="str">
            <v>VFBGA63R1</v>
          </cell>
          <cell r="C159">
            <v>1</v>
          </cell>
          <cell r="D159">
            <v>1</v>
          </cell>
          <cell r="E159">
            <v>1</v>
          </cell>
        </row>
        <row r="160">
          <cell r="B160" t="str">
            <v>VFBGA35R1</v>
          </cell>
          <cell r="C160">
            <v>2</v>
          </cell>
          <cell r="D160">
            <v>2</v>
          </cell>
          <cell r="E160">
            <v>2</v>
          </cell>
        </row>
        <row r="161">
          <cell r="B161" t="str">
            <v>VFBGA112R1</v>
          </cell>
          <cell r="C161">
            <v>45</v>
          </cell>
          <cell r="D161">
            <v>65</v>
          </cell>
          <cell r="E161">
            <v>65</v>
          </cell>
        </row>
        <row r="162">
          <cell r="B162" t="str">
            <v>VFBGA60R1</v>
          </cell>
          <cell r="C162">
            <v>5</v>
          </cell>
          <cell r="D162">
            <v>5</v>
          </cell>
          <cell r="E162">
            <v>25</v>
          </cell>
        </row>
        <row r="163">
          <cell r="B163" t="str">
            <v>VFBGA72R1</v>
          </cell>
          <cell r="C163">
            <v>0</v>
          </cell>
          <cell r="D163">
            <v>0</v>
          </cell>
          <cell r="E163">
            <v>0</v>
          </cell>
        </row>
        <row r="164">
          <cell r="B164" t="str">
            <v>VFBGA107T7</v>
          </cell>
          <cell r="C164">
            <v>100</v>
          </cell>
          <cell r="D164">
            <v>220</v>
          </cell>
          <cell r="E164">
            <v>200</v>
          </cell>
        </row>
        <row r="165">
          <cell r="B165" t="str">
            <v>VFLGA36V4</v>
          </cell>
          <cell r="C165">
            <v>7</v>
          </cell>
          <cell r="D165">
            <v>7</v>
          </cell>
          <cell r="E165">
            <v>7</v>
          </cell>
        </row>
        <row r="166">
          <cell r="B166" t="str">
            <v>VFLGA48T5</v>
          </cell>
          <cell r="C166">
            <v>0</v>
          </cell>
          <cell r="D166">
            <v>0</v>
          </cell>
          <cell r="E166">
            <v>0</v>
          </cell>
        </row>
        <row r="167">
          <cell r="B167" t="str">
            <v>FLGA16V3</v>
          </cell>
          <cell r="C167">
            <v>10</v>
          </cell>
          <cell r="D167">
            <v>100</v>
          </cell>
          <cell r="E167">
            <v>320</v>
          </cell>
        </row>
        <row r="168">
          <cell r="B168" t="str">
            <v>SFLGA96V7</v>
          </cell>
          <cell r="C168">
            <v>122</v>
          </cell>
          <cell r="D168">
            <v>202</v>
          </cell>
          <cell r="E168">
            <v>272</v>
          </cell>
        </row>
        <row r="169">
          <cell r="B169" t="str">
            <v>SFLGA64V6</v>
          </cell>
          <cell r="C169">
            <v>1003</v>
          </cell>
          <cell r="D169">
            <v>1203</v>
          </cell>
          <cell r="E169">
            <v>1403</v>
          </cell>
        </row>
        <row r="170">
          <cell r="B170" t="str">
            <v>VFBGA63T5</v>
          </cell>
          <cell r="C170">
            <v>124</v>
          </cell>
          <cell r="D170">
            <v>337</v>
          </cell>
          <cell r="E170">
            <v>397</v>
          </cell>
        </row>
        <row r="171">
          <cell r="B171" t="str">
            <v>VQFN48</v>
          </cell>
          <cell r="C171">
            <v>5</v>
          </cell>
          <cell r="D171">
            <v>5</v>
          </cell>
          <cell r="E171">
            <v>5</v>
          </cell>
        </row>
        <row r="172">
          <cell r="B172" t="str">
            <v>VFBGA99T6</v>
          </cell>
          <cell r="C172">
            <v>0</v>
          </cell>
          <cell r="D172">
            <v>0</v>
          </cell>
          <cell r="E172">
            <v>0</v>
          </cell>
        </row>
        <row r="173">
          <cell r="B173" t="str">
            <v>VFBGA35T4</v>
          </cell>
          <cell r="C173">
            <v>85</v>
          </cell>
          <cell r="D173">
            <v>300</v>
          </cell>
          <cell r="E173">
            <v>300</v>
          </cell>
        </row>
        <row r="174">
          <cell r="B174" t="str">
            <v>VFLGA32V5</v>
          </cell>
          <cell r="C174">
            <v>586</v>
          </cell>
          <cell r="D174">
            <v>250</v>
          </cell>
          <cell r="E174">
            <v>10</v>
          </cell>
        </row>
        <row r="175">
          <cell r="B175" t="str">
            <v>VFBGA224TA</v>
          </cell>
          <cell r="C175">
            <v>1</v>
          </cell>
          <cell r="D175">
            <v>1</v>
          </cell>
          <cell r="E175">
            <v>1</v>
          </cell>
        </row>
        <row r="176">
          <cell r="B176" t="str">
            <v>VFBGA99C6</v>
          </cell>
          <cell r="C176">
            <v>3</v>
          </cell>
          <cell r="D176">
            <v>3</v>
          </cell>
          <cell r="E176">
            <v>3</v>
          </cell>
        </row>
        <row r="177">
          <cell r="B177" t="str">
            <v>VFLGA196V8</v>
          </cell>
          <cell r="C177">
            <v>3</v>
          </cell>
          <cell r="D177">
            <v>3</v>
          </cell>
          <cell r="E177">
            <v>3</v>
          </cell>
        </row>
        <row r="178">
          <cell r="B178" t="str">
            <v>LSI T.L</v>
          </cell>
          <cell r="C178">
            <v>45116</v>
          </cell>
          <cell r="D178">
            <v>46206</v>
          </cell>
          <cell r="E178">
            <v>45921</v>
          </cell>
        </row>
        <row r="180">
          <cell r="B180" t="str">
            <v>ICA</v>
          </cell>
        </row>
        <row r="181">
          <cell r="B181" t="str">
            <v>形状名</v>
          </cell>
          <cell r="C181">
            <v>4</v>
          </cell>
          <cell r="D181">
            <v>5</v>
          </cell>
          <cell r="E181">
            <v>6</v>
          </cell>
        </row>
        <row r="182">
          <cell r="B182" t="str">
            <v>CHIP1W</v>
          </cell>
          <cell r="C182">
            <v>0</v>
          </cell>
          <cell r="D182">
            <v>0</v>
          </cell>
          <cell r="E182">
            <v>0</v>
          </cell>
        </row>
        <row r="183">
          <cell r="B183" t="str">
            <v>CHIP2W</v>
          </cell>
          <cell r="C183">
            <v>0</v>
          </cell>
          <cell r="D183">
            <v>0</v>
          </cell>
          <cell r="E183">
            <v>0</v>
          </cell>
        </row>
        <row r="184">
          <cell r="B184" t="str">
            <v>CHIP3W</v>
          </cell>
          <cell r="C184">
            <v>0</v>
          </cell>
          <cell r="D184">
            <v>0</v>
          </cell>
          <cell r="E184">
            <v>0</v>
          </cell>
        </row>
        <row r="185">
          <cell r="B185" t="str">
            <v>DIP20</v>
          </cell>
          <cell r="C185">
            <v>0</v>
          </cell>
          <cell r="D185">
            <v>0</v>
          </cell>
          <cell r="E185">
            <v>0</v>
          </cell>
        </row>
        <row r="186">
          <cell r="B186" t="str">
            <v>DIP22</v>
          </cell>
          <cell r="C186">
            <v>0</v>
          </cell>
          <cell r="D186">
            <v>0</v>
          </cell>
          <cell r="E186">
            <v>0</v>
          </cell>
        </row>
        <row r="187">
          <cell r="B187" t="str">
            <v>DIP28</v>
          </cell>
          <cell r="C187">
            <v>0</v>
          </cell>
          <cell r="D187">
            <v>0</v>
          </cell>
          <cell r="E187">
            <v>0</v>
          </cell>
        </row>
        <row r="188">
          <cell r="B188" t="str">
            <v>DIPSK24</v>
          </cell>
          <cell r="C188">
            <v>0</v>
          </cell>
        </row>
        <row r="189">
          <cell r="B189" t="str">
            <v>SDIP18</v>
          </cell>
        </row>
        <row r="190">
          <cell r="B190" t="str">
            <v>SDIP22</v>
          </cell>
        </row>
        <row r="191">
          <cell r="B191" t="str">
            <v>SDIP42</v>
          </cell>
        </row>
        <row r="192">
          <cell r="B192" t="str">
            <v>FBGA112</v>
          </cell>
        </row>
        <row r="193">
          <cell r="B193" t="str">
            <v>FBGA180</v>
          </cell>
        </row>
        <row r="194">
          <cell r="B194" t="str">
            <v>FBGA192D</v>
          </cell>
        </row>
        <row r="195">
          <cell r="B195" t="str">
            <v>FLGA12V3</v>
          </cell>
        </row>
        <row r="196">
          <cell r="B196" t="str">
            <v>VFLGA80V7</v>
          </cell>
        </row>
        <row r="197">
          <cell r="B197" t="str">
            <v>VFLGA128V7</v>
          </cell>
        </row>
        <row r="198">
          <cell r="B198" t="str">
            <v>VFLGA28V5</v>
          </cell>
        </row>
        <row r="199">
          <cell r="B199" t="str">
            <v>VFBGA107T7</v>
          </cell>
        </row>
        <row r="200">
          <cell r="B200" t="str">
            <v>VFBGA199T9</v>
          </cell>
        </row>
        <row r="201">
          <cell r="B201" t="str">
            <v>VFBGA143T7</v>
          </cell>
        </row>
        <row r="202">
          <cell r="B202" t="str">
            <v>FBGA220</v>
          </cell>
        </row>
        <row r="203">
          <cell r="B203" t="str">
            <v>FBGA64A</v>
          </cell>
        </row>
        <row r="204">
          <cell r="B204" t="str">
            <v>FBGA80A</v>
          </cell>
        </row>
        <row r="205">
          <cell r="B205" t="str">
            <v>FBGA144</v>
          </cell>
        </row>
        <row r="206">
          <cell r="B206" t="str">
            <v>FBGAC48</v>
          </cell>
        </row>
        <row r="207">
          <cell r="B207" t="str">
            <v>TFBGA144V-07</v>
          </cell>
        </row>
        <row r="208">
          <cell r="B208" t="str">
            <v>SFBGA168B</v>
          </cell>
        </row>
        <row r="209">
          <cell r="B209" t="str">
            <v>VFLGA48V5</v>
          </cell>
        </row>
        <row r="210">
          <cell r="B210" t="str">
            <v>VQFN28</v>
          </cell>
        </row>
        <row r="211">
          <cell r="B211" t="str">
            <v>UQFN48</v>
          </cell>
        </row>
        <row r="212">
          <cell r="B212" t="str">
            <v>UQFN84</v>
          </cell>
        </row>
        <row r="213">
          <cell r="B213" t="str">
            <v>UQFN64</v>
          </cell>
        </row>
        <row r="214">
          <cell r="B214" t="str">
            <v>VQFN36</v>
          </cell>
        </row>
        <row r="215">
          <cell r="B215" t="str">
            <v>HQFN36V</v>
          </cell>
        </row>
        <row r="216">
          <cell r="B216" t="str">
            <v>VQFN20</v>
          </cell>
        </row>
        <row r="217">
          <cell r="B217" t="str">
            <v>UQFN52</v>
          </cell>
        </row>
        <row r="218">
          <cell r="B218" t="str">
            <v>QFP120</v>
          </cell>
          <cell r="C218">
            <v>0</v>
          </cell>
          <cell r="D218">
            <v>0</v>
          </cell>
          <cell r="E218">
            <v>0</v>
          </cell>
        </row>
        <row r="219">
          <cell r="B219" t="str">
            <v>SQFP144</v>
          </cell>
        </row>
        <row r="220">
          <cell r="B220" t="str">
            <v>SQFP160</v>
          </cell>
        </row>
        <row r="221">
          <cell r="B221" t="str">
            <v>UQFP184</v>
          </cell>
        </row>
        <row r="222">
          <cell r="B222" t="str">
            <v>SQFP160C</v>
          </cell>
        </row>
        <row r="223">
          <cell r="B223" t="str">
            <v>TQFP176-U</v>
          </cell>
        </row>
        <row r="224">
          <cell r="B224" t="str">
            <v>UQFP160</v>
          </cell>
        </row>
        <row r="225">
          <cell r="B225" t="str">
            <v>UQFP256</v>
          </cell>
        </row>
        <row r="226">
          <cell r="B226" t="str">
            <v xml:space="preserve">VQFP144 </v>
          </cell>
        </row>
        <row r="227">
          <cell r="B227" t="str">
            <v>VQFP144-T</v>
          </cell>
        </row>
        <row r="228">
          <cell r="B228" t="str">
            <v>VQFP208</v>
          </cell>
        </row>
        <row r="229">
          <cell r="B229" t="str">
            <v>TQFP144-U</v>
          </cell>
        </row>
        <row r="230">
          <cell r="B230" t="str">
            <v>QFP80-L</v>
          </cell>
        </row>
        <row r="231">
          <cell r="B231" t="str">
            <v>SQFP-T100A</v>
          </cell>
        </row>
        <row r="232">
          <cell r="B232" t="str">
            <v>VQFP100</v>
          </cell>
        </row>
        <row r="233">
          <cell r="B233" t="str">
            <v>VQFP128</v>
          </cell>
        </row>
        <row r="234">
          <cell r="B234" t="str">
            <v>VQFP128-T</v>
          </cell>
        </row>
        <row r="235">
          <cell r="B235" t="str">
            <v>QFP64</v>
          </cell>
        </row>
        <row r="236">
          <cell r="B236" t="str">
            <v>QFP64A</v>
          </cell>
        </row>
        <row r="237">
          <cell r="B237" t="str">
            <v>QFP80</v>
          </cell>
        </row>
        <row r="238">
          <cell r="B238" t="str">
            <v>QFP80-T</v>
          </cell>
        </row>
        <row r="239">
          <cell r="B239" t="str">
            <v>SQFP-T80C</v>
          </cell>
        </row>
        <row r="240">
          <cell r="B240" t="str">
            <v>SQFP100</v>
          </cell>
        </row>
        <row r="241">
          <cell r="B241" t="str">
            <v>SQFP80</v>
          </cell>
        </row>
        <row r="242">
          <cell r="B242" t="str">
            <v>SQFP80-T</v>
          </cell>
        </row>
        <row r="243">
          <cell r="B243" t="str">
            <v>TQFP100-V</v>
          </cell>
        </row>
        <row r="244">
          <cell r="B244" t="str">
            <v>TQFP120-U</v>
          </cell>
        </row>
        <row r="245">
          <cell r="B245" t="str">
            <v>TQFP128-U</v>
          </cell>
        </row>
        <row r="246">
          <cell r="B246" t="str">
            <v>UQFP120</v>
          </cell>
        </row>
        <row r="247">
          <cell r="B247" t="str">
            <v>HTQFP100V</v>
          </cell>
        </row>
        <row r="248">
          <cell r="B248" t="str">
            <v>QFP32</v>
          </cell>
        </row>
        <row r="249">
          <cell r="B249" t="str">
            <v>QFP44</v>
          </cell>
          <cell r="C249">
            <v>0</v>
          </cell>
          <cell r="D249">
            <v>0</v>
          </cell>
          <cell r="E249">
            <v>0</v>
          </cell>
        </row>
        <row r="250">
          <cell r="B250" t="str">
            <v>SQFP52-T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zoomScale="93" zoomScaleNormal="93" workbookViewId="0">
      <selection activeCell="T17" sqref="T17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2:Q73"/>
  <sheetViews>
    <sheetView topLeftCell="A28" workbookViewId="0">
      <selection activeCell="P18" sqref="P18"/>
    </sheetView>
  </sheetViews>
  <sheetFormatPr defaultRowHeight="15"/>
  <cols>
    <col min="1" max="1" width="17.42578125" bestFit="1" customWidth="1"/>
  </cols>
  <sheetData>
    <row r="2" spans="1:16">
      <c r="A2" t="s">
        <v>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49</v>
      </c>
      <c r="I2" t="s">
        <v>14</v>
      </c>
      <c r="J2" t="s">
        <v>15</v>
      </c>
      <c r="M2" t="s">
        <v>48</v>
      </c>
      <c r="N2" t="s">
        <v>47</v>
      </c>
    </row>
    <row r="3" spans="1:16">
      <c r="A3" t="s">
        <v>23</v>
      </c>
      <c r="B3" s="12">
        <v>9.1071428571428559</v>
      </c>
      <c r="C3" s="12">
        <v>9.5142857142857142</v>
      </c>
      <c r="D3" s="12">
        <v>13.035714285714286</v>
      </c>
      <c r="E3" s="12">
        <v>10.464285714285714</v>
      </c>
      <c r="F3" s="12">
        <v>11.085714285714285</v>
      </c>
      <c r="G3" s="12">
        <v>9.5357142857142865</v>
      </c>
      <c r="H3" s="12">
        <v>12.392857142857144</v>
      </c>
      <c r="I3" s="12">
        <v>9.3428571428571434</v>
      </c>
      <c r="J3" s="12">
        <v>10.785714285714285</v>
      </c>
      <c r="L3" s="16">
        <f>AVERAGE(B3:J3)</f>
        <v>10.584920634920634</v>
      </c>
      <c r="M3" s="17">
        <v>1.32</v>
      </c>
      <c r="N3" s="16">
        <f>L3-M3</f>
        <v>9.2649206349206334</v>
      </c>
    </row>
    <row r="4" spans="1:16">
      <c r="A4" t="s">
        <v>26</v>
      </c>
      <c r="B4" s="12">
        <v>2.8571428571428577</v>
      </c>
      <c r="C4" s="12">
        <v>2.5428571428571431</v>
      </c>
      <c r="D4" s="12">
        <v>2.6785714285714288</v>
      </c>
      <c r="E4" s="12">
        <v>1.9642857142857144</v>
      </c>
      <c r="F4" s="12">
        <v>1.9714285714285715</v>
      </c>
      <c r="G4" s="12">
        <v>2.0357142857142856</v>
      </c>
      <c r="H4" s="12">
        <v>1.5714285714285714</v>
      </c>
      <c r="I4" s="12">
        <v>2.657142857142857</v>
      </c>
      <c r="J4" s="12">
        <v>2.785714285714286</v>
      </c>
      <c r="L4" s="16">
        <f>AVERAGE(B4:J4)</f>
        <v>2.3404761904761902</v>
      </c>
      <c r="M4" s="16">
        <v>0</v>
      </c>
      <c r="N4" s="16">
        <f>L4-M4</f>
        <v>2.3404761904761902</v>
      </c>
    </row>
    <row r="5" spans="1:16">
      <c r="A5" t="s">
        <v>24</v>
      </c>
      <c r="B5" s="12">
        <v>1.4642857142857144</v>
      </c>
      <c r="C5" s="12">
        <v>0.82857142857142863</v>
      </c>
      <c r="D5" s="12">
        <v>0.5714285714285714</v>
      </c>
      <c r="E5" s="12">
        <v>0.5714285714285714</v>
      </c>
      <c r="F5" s="12">
        <v>0.59999999999999987</v>
      </c>
      <c r="G5" s="12">
        <v>0.5714285714285714</v>
      </c>
      <c r="H5" s="12">
        <v>1.1071428571428572</v>
      </c>
      <c r="I5" s="12">
        <v>1.5714285714285716</v>
      </c>
      <c r="J5" s="12">
        <v>1.6785714285714284</v>
      </c>
      <c r="L5" s="16">
        <f>AVERAGE(B5:J5)</f>
        <v>0.99603174603174593</v>
      </c>
      <c r="M5" s="16">
        <v>0.35</v>
      </c>
      <c r="N5" s="16">
        <f>L5-M5</f>
        <v>0.64603174603174596</v>
      </c>
    </row>
    <row r="6" spans="1:16">
      <c r="A6" t="s">
        <v>25</v>
      </c>
      <c r="B6" s="12">
        <v>7.1428571428571425E-2</v>
      </c>
      <c r="C6" s="12">
        <v>5.7142857142857141E-2</v>
      </c>
      <c r="D6" s="12">
        <v>0.10714285714285714</v>
      </c>
      <c r="E6" s="12">
        <v>3.5714285714285712E-2</v>
      </c>
      <c r="F6" s="12">
        <v>0</v>
      </c>
      <c r="G6" s="12">
        <v>3.5714285714285712E-2</v>
      </c>
      <c r="H6" s="12">
        <v>0.10714285714285714</v>
      </c>
      <c r="I6" s="12">
        <v>8.5714285714285715E-2</v>
      </c>
      <c r="J6" s="12">
        <v>0.21428571428571427</v>
      </c>
      <c r="L6" s="16">
        <f>AVERAGE(B6:J6)</f>
        <v>7.9365079365079361E-2</v>
      </c>
      <c r="M6" s="16">
        <f>L6*0.3</f>
        <v>2.3809523809523808E-2</v>
      </c>
      <c r="N6" s="16">
        <f>L6-M6</f>
        <v>5.5555555555555552E-2</v>
      </c>
    </row>
    <row r="7" spans="1:16" ht="15.75">
      <c r="A7" t="s">
        <v>50</v>
      </c>
      <c r="B7" s="12">
        <f t="shared" ref="B7:J7" si="0">SUM(B3:B6)</f>
        <v>13.499999999999998</v>
      </c>
      <c r="C7" s="12">
        <f t="shared" si="0"/>
        <v>12.942857142857143</v>
      </c>
      <c r="D7" s="12">
        <f t="shared" si="0"/>
        <v>16.392857142857146</v>
      </c>
      <c r="E7" s="12">
        <f t="shared" si="0"/>
        <v>13.035714285714285</v>
      </c>
      <c r="F7" s="12">
        <f t="shared" si="0"/>
        <v>13.657142857142857</v>
      </c>
      <c r="G7" s="12">
        <f t="shared" si="0"/>
        <v>12.178571428571431</v>
      </c>
      <c r="H7" s="12">
        <f t="shared" si="0"/>
        <v>15.178571428571431</v>
      </c>
      <c r="I7" s="12">
        <f t="shared" si="0"/>
        <v>13.657142857142857</v>
      </c>
      <c r="J7" s="12">
        <f t="shared" si="0"/>
        <v>15.464285714285714</v>
      </c>
      <c r="L7" s="16">
        <f>SUM(L3:L6)</f>
        <v>14.000793650793648</v>
      </c>
      <c r="M7" s="16">
        <f>SUM(M3:M6)</f>
        <v>1.6938095238095237</v>
      </c>
      <c r="N7" s="16">
        <f>SUM(N3:N6)</f>
        <v>12.306984126984124</v>
      </c>
      <c r="P7" s="26">
        <f>M7/L7</f>
        <v>0.12097953630746558</v>
      </c>
    </row>
    <row r="8" spans="1:16">
      <c r="B8" s="12"/>
      <c r="C8" s="12"/>
      <c r="D8" s="12"/>
      <c r="E8" s="12"/>
      <c r="F8" s="12"/>
      <c r="G8" s="12"/>
      <c r="H8" s="12"/>
      <c r="I8" s="12"/>
      <c r="J8" s="12"/>
      <c r="L8" s="16"/>
      <c r="M8" s="16"/>
      <c r="N8" s="16"/>
    </row>
    <row r="9" spans="1:16">
      <c r="A9" t="s">
        <v>2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L9" s="16"/>
      <c r="M9" s="16" t="s">
        <v>48</v>
      </c>
      <c r="N9" s="16" t="s">
        <v>47</v>
      </c>
    </row>
    <row r="10" spans="1:16">
      <c r="A10" t="s">
        <v>20</v>
      </c>
      <c r="B10" s="12">
        <v>31.75</v>
      </c>
      <c r="C10" s="12">
        <v>29.228571428571428</v>
      </c>
      <c r="D10" s="12">
        <v>28.821428571428573</v>
      </c>
      <c r="E10" s="12">
        <v>24.714285714285715</v>
      </c>
      <c r="F10" s="12">
        <v>22.571428571428573</v>
      </c>
      <c r="G10" s="12">
        <v>21.535714285714285</v>
      </c>
      <c r="H10" s="12">
        <v>27.821428571428569</v>
      </c>
      <c r="I10" s="12">
        <v>27.771428571428572</v>
      </c>
      <c r="J10" s="12">
        <v>22.321428571428569</v>
      </c>
      <c r="L10" s="16">
        <f>AVERAGE(B10:J10)</f>
        <v>26.281746031746032</v>
      </c>
      <c r="M10" s="16">
        <v>5</v>
      </c>
      <c r="N10" s="16">
        <f>L10-M10</f>
        <v>21.281746031746032</v>
      </c>
    </row>
    <row r="11" spans="1:16">
      <c r="A11" t="s">
        <v>21</v>
      </c>
      <c r="B11" s="12">
        <v>16.892857142857142</v>
      </c>
      <c r="C11" s="12">
        <v>10.8</v>
      </c>
      <c r="D11" s="12">
        <v>10</v>
      </c>
      <c r="E11" s="12">
        <v>9.4285714285714288</v>
      </c>
      <c r="F11" s="12">
        <v>10.028571428571428</v>
      </c>
      <c r="G11" s="12">
        <v>11.214285714285715</v>
      </c>
      <c r="H11" s="12">
        <v>11.428571428571427</v>
      </c>
      <c r="I11" s="12">
        <v>10.485714285714286</v>
      </c>
      <c r="J11" s="12">
        <v>9.2142857142857135</v>
      </c>
      <c r="L11" s="16">
        <f>AVERAGE(B11:J11)</f>
        <v>11.054761904761905</v>
      </c>
      <c r="M11" s="17">
        <v>4</v>
      </c>
      <c r="N11" s="16">
        <f>L11-M11</f>
        <v>7.0547619047619055</v>
      </c>
    </row>
    <row r="12" spans="1:16">
      <c r="A12" t="s">
        <v>22</v>
      </c>
      <c r="B12" s="12">
        <v>7.3928571428571423</v>
      </c>
      <c r="C12" s="12">
        <v>8.5142857142857142</v>
      </c>
      <c r="D12" s="12">
        <v>9.8214285714285712</v>
      </c>
      <c r="E12" s="12">
        <v>9</v>
      </c>
      <c r="F12" s="12">
        <v>7.1142857142857139</v>
      </c>
      <c r="G12" s="12">
        <v>6.0357142857142856</v>
      </c>
      <c r="H12" s="12">
        <v>9.2857142857142847</v>
      </c>
      <c r="I12" s="12">
        <v>8.3714285714285701</v>
      </c>
      <c r="J12" s="12">
        <v>9.7857142857142847</v>
      </c>
      <c r="L12" s="16">
        <f>AVERAGE(B12:J12)</f>
        <v>8.3690476190476168</v>
      </c>
      <c r="M12" s="16">
        <v>0</v>
      </c>
      <c r="N12" s="16">
        <f>L12-M12</f>
        <v>8.3690476190476168</v>
      </c>
    </row>
    <row r="13" spans="1:16">
      <c r="A13" t="s">
        <v>83</v>
      </c>
      <c r="B13" s="12">
        <v>1.8214285714285712</v>
      </c>
      <c r="C13" s="12">
        <v>1.7142857142857146</v>
      </c>
      <c r="D13" s="12">
        <v>1.2142857142857144</v>
      </c>
      <c r="E13" s="12">
        <v>0</v>
      </c>
      <c r="F13" s="12">
        <v>0.82857142857142851</v>
      </c>
      <c r="G13" s="12">
        <v>1.1428571428571428</v>
      </c>
      <c r="H13" s="12">
        <v>1.1785714285714284</v>
      </c>
      <c r="I13" s="12">
        <v>0.6</v>
      </c>
      <c r="J13" s="12">
        <v>1.1785714285714286</v>
      </c>
      <c r="L13" s="16">
        <f>AVERAGE(B13:J13)</f>
        <v>1.0753968253968254</v>
      </c>
      <c r="M13" s="16">
        <v>0</v>
      </c>
      <c r="N13" s="16">
        <f>L13-M13</f>
        <v>1.0753968253968254</v>
      </c>
    </row>
    <row r="14" spans="1:16" ht="15.75">
      <c r="B14" s="12">
        <f t="shared" ref="B14:J14" si="1">SUM(B10:B13)</f>
        <v>57.857142857142847</v>
      </c>
      <c r="C14" s="12">
        <f t="shared" si="1"/>
        <v>50.257142857142853</v>
      </c>
      <c r="D14" s="12">
        <f t="shared" si="1"/>
        <v>49.857142857142854</v>
      </c>
      <c r="E14" s="12">
        <f t="shared" si="1"/>
        <v>43.142857142857146</v>
      </c>
      <c r="F14" s="12">
        <f t="shared" si="1"/>
        <v>40.542857142857144</v>
      </c>
      <c r="G14" s="12">
        <f t="shared" si="1"/>
        <v>39.928571428571431</v>
      </c>
      <c r="H14" s="12">
        <f t="shared" si="1"/>
        <v>49.714285714285715</v>
      </c>
      <c r="I14" s="12">
        <f t="shared" si="1"/>
        <v>47.228571428571435</v>
      </c>
      <c r="J14" s="12">
        <f t="shared" si="1"/>
        <v>42.5</v>
      </c>
      <c r="L14" s="16">
        <f>SUM(L10:L13)</f>
        <v>46.780952380952371</v>
      </c>
      <c r="M14" s="16">
        <f>SUM(M10:M13)</f>
        <v>9</v>
      </c>
      <c r="N14" s="16">
        <f>SUM(N10:N13)</f>
        <v>37.780952380952371</v>
      </c>
      <c r="P14" s="26">
        <f>M14/L14</f>
        <v>0.19238599348534205</v>
      </c>
    </row>
    <row r="15" spans="1:16">
      <c r="L15" s="16"/>
      <c r="M15" s="16"/>
      <c r="N15" s="16"/>
    </row>
    <row r="16" spans="1:16">
      <c r="A16" t="s">
        <v>5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  <c r="I16" t="s">
        <v>14</v>
      </c>
      <c r="J16" t="s">
        <v>15</v>
      </c>
      <c r="L16" s="16"/>
      <c r="M16" s="16" t="s">
        <v>48</v>
      </c>
      <c r="N16" s="16" t="s">
        <v>47</v>
      </c>
    </row>
    <row r="17" spans="1:16">
      <c r="A17" t="s">
        <v>51</v>
      </c>
      <c r="B17" s="12">
        <v>1.9666666666666666</v>
      </c>
      <c r="C17" s="12">
        <v>1.8666666666666667</v>
      </c>
      <c r="D17" s="12">
        <v>2.0333333333333332</v>
      </c>
      <c r="E17" s="12">
        <v>1.8</v>
      </c>
      <c r="F17" s="12">
        <v>2.9333333333333331</v>
      </c>
      <c r="G17" s="12">
        <v>5.4333333333333336</v>
      </c>
      <c r="H17" s="12">
        <v>4.5666666666666664</v>
      </c>
      <c r="I17" s="12">
        <v>5.8</v>
      </c>
      <c r="J17" s="12">
        <v>5.4666666666666668</v>
      </c>
      <c r="L17" s="16">
        <f t="shared" ref="L17:L27" si="2">AVERAGE(B17:J17)</f>
        <v>3.5407407407407407</v>
      </c>
      <c r="M17" s="16">
        <v>0</v>
      </c>
      <c r="N17" s="16">
        <f t="shared" ref="N17:N27" si="3">L17-M17</f>
        <v>3.5407407407407407</v>
      </c>
    </row>
    <row r="18" spans="1:16">
      <c r="A18" t="s">
        <v>34</v>
      </c>
      <c r="B18" s="12">
        <v>5.2333333333333334</v>
      </c>
      <c r="C18" s="12">
        <v>2.9666666666666668</v>
      </c>
      <c r="D18" s="12">
        <v>2</v>
      </c>
      <c r="E18" s="12">
        <v>2</v>
      </c>
      <c r="F18" s="12">
        <v>2.7666666666666666</v>
      </c>
      <c r="G18" s="12">
        <v>3</v>
      </c>
      <c r="H18" s="12">
        <v>3.7</v>
      </c>
      <c r="I18" s="12">
        <v>2.9333333333333331</v>
      </c>
      <c r="J18" s="12">
        <v>3.4</v>
      </c>
      <c r="L18" s="16">
        <f t="shared" si="2"/>
        <v>3.1111111111111107</v>
      </c>
      <c r="M18" s="17">
        <v>0.78966666666666674</v>
      </c>
      <c r="N18" s="16">
        <f t="shared" si="3"/>
        <v>2.321444444444444</v>
      </c>
    </row>
    <row r="19" spans="1:16">
      <c r="A19" t="s">
        <v>36</v>
      </c>
      <c r="B19" s="12">
        <v>2.1</v>
      </c>
      <c r="C19" s="12">
        <v>2.3333333333333335</v>
      </c>
      <c r="D19" s="12">
        <v>2.9333333333333331</v>
      </c>
      <c r="E19" s="12">
        <v>1.2</v>
      </c>
      <c r="F19" s="12">
        <v>1.7666666666666666</v>
      </c>
      <c r="G19" s="12">
        <v>1.7333333333333334</v>
      </c>
      <c r="H19" s="12">
        <v>1.9666666666666666</v>
      </c>
      <c r="I19" s="12">
        <v>1.5666666666666667</v>
      </c>
      <c r="J19" s="12">
        <v>1.5333333333333334</v>
      </c>
      <c r="L19" s="16">
        <f t="shared" si="2"/>
        <v>1.9037037037037037</v>
      </c>
      <c r="M19" s="17">
        <v>0.32</v>
      </c>
      <c r="N19" s="16">
        <f t="shared" si="3"/>
        <v>1.5837037037037036</v>
      </c>
    </row>
    <row r="20" spans="1:16">
      <c r="A20" t="s">
        <v>35</v>
      </c>
      <c r="B20" s="12">
        <v>0.6</v>
      </c>
      <c r="C20" s="12">
        <v>1.3</v>
      </c>
      <c r="D20" s="12">
        <v>1.2666666666666666</v>
      </c>
      <c r="E20" s="12">
        <v>1.0666666666666667</v>
      </c>
      <c r="F20" s="12">
        <v>2.0666666666666669</v>
      </c>
      <c r="G20" s="12">
        <v>1.6666666666666667</v>
      </c>
      <c r="H20" s="12">
        <v>1.7333333333333334</v>
      </c>
      <c r="I20" s="12">
        <v>2.2999999999999998</v>
      </c>
      <c r="J20" s="12">
        <v>0.96666666666666667</v>
      </c>
      <c r="L20" s="16">
        <f t="shared" si="2"/>
        <v>1.4407407407407407</v>
      </c>
      <c r="M20" s="17">
        <v>0.27</v>
      </c>
      <c r="N20" s="16">
        <f t="shared" si="3"/>
        <v>1.1707407407407406</v>
      </c>
    </row>
    <row r="21" spans="1:16">
      <c r="A21" t="s">
        <v>52</v>
      </c>
      <c r="B21" s="12">
        <v>0.76666666666666672</v>
      </c>
      <c r="C21" s="12">
        <v>0.76666666666666672</v>
      </c>
      <c r="D21" s="12">
        <v>0.76666666666666672</v>
      </c>
      <c r="E21" s="12">
        <v>0.53333333333333333</v>
      </c>
      <c r="F21" s="12">
        <v>0.8</v>
      </c>
      <c r="G21" s="12">
        <v>1.0666666666666667</v>
      </c>
      <c r="H21" s="12">
        <v>2.4333333333333331</v>
      </c>
      <c r="I21" s="12">
        <v>1.3666666666666667</v>
      </c>
      <c r="J21" s="12">
        <v>1.3</v>
      </c>
      <c r="L21" s="16">
        <f t="shared" si="2"/>
        <v>1.088888888888889</v>
      </c>
      <c r="M21" s="16">
        <v>0</v>
      </c>
      <c r="N21" s="16">
        <f t="shared" si="3"/>
        <v>1.088888888888889</v>
      </c>
    </row>
    <row r="22" spans="1:16">
      <c r="A22" t="s">
        <v>38</v>
      </c>
      <c r="B22" s="12">
        <v>0.66666666666666663</v>
      </c>
      <c r="C22" s="12">
        <v>0.8</v>
      </c>
      <c r="D22" s="12">
        <v>0.4</v>
      </c>
      <c r="E22" s="12">
        <v>0.2</v>
      </c>
      <c r="F22" s="12">
        <v>0.43333333333333335</v>
      </c>
      <c r="G22" s="12">
        <v>0.23333333333333334</v>
      </c>
      <c r="H22" s="12">
        <v>0.53333333333333333</v>
      </c>
      <c r="I22" s="12">
        <v>0.33333333333333331</v>
      </c>
      <c r="J22" s="12">
        <v>0.23333333333333334</v>
      </c>
      <c r="L22" s="16">
        <f t="shared" si="2"/>
        <v>0.42592592592592593</v>
      </c>
      <c r="M22" s="16">
        <v>0</v>
      </c>
      <c r="N22" s="16">
        <f t="shared" si="3"/>
        <v>0.42592592592592593</v>
      </c>
    </row>
    <row r="23" spans="1:16">
      <c r="A23" t="s">
        <v>37</v>
      </c>
      <c r="B23" s="12">
        <v>0.13333333333333333</v>
      </c>
      <c r="C23" s="12">
        <v>0.2</v>
      </c>
      <c r="D23" s="12">
        <v>0.3</v>
      </c>
      <c r="E23" s="12">
        <v>0.23333333333333334</v>
      </c>
      <c r="F23" s="12">
        <v>0.23333333333333334</v>
      </c>
      <c r="G23" s="12">
        <v>0.5</v>
      </c>
      <c r="H23" s="12">
        <v>0.13333333333333333</v>
      </c>
      <c r="I23" s="12">
        <v>0.23333333333333334</v>
      </c>
      <c r="J23" s="12">
        <v>0.23333333333333334</v>
      </c>
      <c r="L23" s="16">
        <f t="shared" si="2"/>
        <v>0.24444444444444446</v>
      </c>
      <c r="M23" s="16">
        <v>0</v>
      </c>
      <c r="N23" s="16">
        <f t="shared" si="3"/>
        <v>0.24444444444444446</v>
      </c>
    </row>
    <row r="24" spans="1:16">
      <c r="A24" t="s">
        <v>39</v>
      </c>
      <c r="B24" s="12">
        <v>0</v>
      </c>
      <c r="C24" s="12">
        <v>0.2</v>
      </c>
      <c r="D24" s="12">
        <v>3.3333333333333333E-2</v>
      </c>
      <c r="E24" s="12">
        <v>6.6666666666666666E-2</v>
      </c>
      <c r="F24" s="12">
        <v>6.6666666666666666E-2</v>
      </c>
      <c r="G24" s="12">
        <v>0.13333333333333333</v>
      </c>
      <c r="H24" s="12">
        <v>0.16666666666666666</v>
      </c>
      <c r="I24" s="12">
        <v>6.6666666666666666E-2</v>
      </c>
      <c r="J24" s="12">
        <v>3.3333333333333333E-2</v>
      </c>
      <c r="L24" s="16">
        <f t="shared" si="2"/>
        <v>8.5185185185185183E-2</v>
      </c>
      <c r="M24" s="16">
        <v>0</v>
      </c>
      <c r="N24" s="16">
        <f t="shared" si="3"/>
        <v>8.5185185185185183E-2</v>
      </c>
    </row>
    <row r="25" spans="1:16">
      <c r="A25" t="s">
        <v>40</v>
      </c>
      <c r="B25" s="12">
        <v>6.6666666666666666E-2</v>
      </c>
      <c r="C25" s="12">
        <v>3.3333333333333333E-2</v>
      </c>
      <c r="D25" s="12">
        <v>0</v>
      </c>
      <c r="E25" s="12">
        <v>0.13333333333333333</v>
      </c>
      <c r="F25" s="12">
        <v>0.3</v>
      </c>
      <c r="G25" s="12">
        <v>3.3333333333333333E-2</v>
      </c>
      <c r="H25" s="12">
        <v>6.6666666666666666E-2</v>
      </c>
      <c r="I25" s="12">
        <v>6.6666666666666666E-2</v>
      </c>
      <c r="J25" s="12">
        <v>6.6666666666666666E-2</v>
      </c>
      <c r="L25" s="16">
        <f t="shared" si="2"/>
        <v>8.5185185185185183E-2</v>
      </c>
      <c r="M25" s="16">
        <v>0</v>
      </c>
      <c r="N25" s="16">
        <f t="shared" si="3"/>
        <v>8.5185185185185183E-2</v>
      </c>
    </row>
    <row r="26" spans="1:16">
      <c r="A26" t="s">
        <v>84</v>
      </c>
      <c r="B26" s="12">
        <v>0</v>
      </c>
      <c r="C26" s="12">
        <v>6.6666666666666666E-2</v>
      </c>
      <c r="D26" s="12">
        <v>3.3333333333333333E-2</v>
      </c>
      <c r="E26" s="12">
        <v>3.3333333333333333E-2</v>
      </c>
      <c r="F26" s="12">
        <v>6.6666666666666666E-2</v>
      </c>
      <c r="G26" s="12">
        <v>0</v>
      </c>
      <c r="H26" s="12">
        <v>6.6666666666666666E-2</v>
      </c>
      <c r="I26" s="12">
        <v>6.6666666666666666E-2</v>
      </c>
      <c r="J26" s="12">
        <v>0</v>
      </c>
      <c r="L26" s="16">
        <f t="shared" si="2"/>
        <v>3.7037037037037035E-2</v>
      </c>
      <c r="M26" s="16">
        <v>0</v>
      </c>
      <c r="N26" s="16">
        <f t="shared" si="3"/>
        <v>3.7037037037037035E-2</v>
      </c>
    </row>
    <row r="27" spans="1:16">
      <c r="A27" t="s">
        <v>85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L27" s="16">
        <f t="shared" si="2"/>
        <v>0</v>
      </c>
      <c r="M27" s="16">
        <v>0</v>
      </c>
      <c r="N27" s="16">
        <f t="shared" si="3"/>
        <v>0</v>
      </c>
    </row>
    <row r="28" spans="1:16" ht="15.75">
      <c r="B28" s="12">
        <f>SUM(B17:B27)</f>
        <v>11.533333333333333</v>
      </c>
      <c r="C28" s="12">
        <f t="shared" ref="C28:J28" si="4">SUM(C17:C27)</f>
        <v>10.533333333333335</v>
      </c>
      <c r="D28" s="12">
        <f t="shared" si="4"/>
        <v>9.7666666666666693</v>
      </c>
      <c r="E28" s="12">
        <f t="shared" si="4"/>
        <v>7.2666666666666666</v>
      </c>
      <c r="F28" s="12">
        <f t="shared" si="4"/>
        <v>11.433333333333334</v>
      </c>
      <c r="G28" s="12">
        <f t="shared" si="4"/>
        <v>13.799999999999999</v>
      </c>
      <c r="H28" s="12">
        <f t="shared" si="4"/>
        <v>15.366666666666664</v>
      </c>
      <c r="I28" s="12">
        <f t="shared" si="4"/>
        <v>14.733333333333331</v>
      </c>
      <c r="J28" s="12">
        <f t="shared" si="4"/>
        <v>13.233333333333333</v>
      </c>
      <c r="L28" s="16">
        <f>SUM(L17:L27)</f>
        <v>11.962962962962964</v>
      </c>
      <c r="M28" s="16">
        <f>SUM(M17:M27)</f>
        <v>1.3796666666666668</v>
      </c>
      <c r="N28" s="16">
        <f>SUM(N17:N27)</f>
        <v>10.583296296296295</v>
      </c>
      <c r="P28" s="26">
        <f>M28/L28</f>
        <v>0.11532817337461301</v>
      </c>
    </row>
    <row r="29" spans="1:16">
      <c r="L29" s="16"/>
      <c r="M29" s="16"/>
      <c r="N29" s="16"/>
    </row>
    <row r="30" spans="1:16">
      <c r="A30" t="s">
        <v>6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 t="s">
        <v>13</v>
      </c>
      <c r="I30" t="s">
        <v>14</v>
      </c>
      <c r="J30" t="s">
        <v>15</v>
      </c>
      <c r="L30" s="16"/>
      <c r="M30" s="16" t="s">
        <v>48</v>
      </c>
      <c r="N30" s="16" t="s">
        <v>47</v>
      </c>
    </row>
    <row r="31" spans="1:16">
      <c r="A31" t="s">
        <v>129</v>
      </c>
      <c r="B31" s="12"/>
      <c r="C31" s="12"/>
      <c r="D31" s="12"/>
      <c r="E31" s="12"/>
      <c r="F31" s="12"/>
      <c r="G31" s="12"/>
      <c r="H31" s="12"/>
      <c r="I31" s="12"/>
      <c r="L31" s="16">
        <v>4.9474199070677427</v>
      </c>
      <c r="M31" s="16">
        <v>0</v>
      </c>
      <c r="N31" s="16">
        <f>L31-M31</f>
        <v>4.9474199070677427</v>
      </c>
    </row>
    <row r="32" spans="1:16">
      <c r="A32" t="s">
        <v>130</v>
      </c>
      <c r="B32" s="12"/>
      <c r="C32" s="12"/>
      <c r="D32" s="12"/>
      <c r="E32" s="12"/>
      <c r="F32" s="12"/>
      <c r="G32" s="12"/>
      <c r="H32" s="12"/>
      <c r="I32" s="12"/>
      <c r="L32" s="16">
        <v>4.074345805820494</v>
      </c>
      <c r="M32" s="16">
        <v>0</v>
      </c>
      <c r="N32" s="16">
        <f t="shared" ref="N32:N40" si="5">L32-M32</f>
        <v>4.074345805820494</v>
      </c>
    </row>
    <row r="33" spans="1:16">
      <c r="A33" t="s">
        <v>131</v>
      </c>
      <c r="B33" s="12"/>
      <c r="C33" s="12"/>
      <c r="D33" s="12"/>
      <c r="E33" s="12"/>
      <c r="F33" s="12"/>
      <c r="G33" s="12"/>
      <c r="H33" s="12"/>
      <c r="I33" s="12"/>
      <c r="L33" s="16">
        <v>3.4922964049889944</v>
      </c>
      <c r="M33" s="17">
        <v>3</v>
      </c>
      <c r="N33" s="16">
        <f t="shared" si="5"/>
        <v>0.49229640498899441</v>
      </c>
    </row>
    <row r="34" spans="1:16">
      <c r="A34" t="s">
        <v>132</v>
      </c>
      <c r="B34" s="12"/>
      <c r="C34" s="12"/>
      <c r="D34" s="12"/>
      <c r="E34" s="12"/>
      <c r="F34" s="12"/>
      <c r="G34" s="12"/>
      <c r="H34" s="12"/>
      <c r="I34" s="12"/>
      <c r="L34" s="16">
        <v>2.6774272438248956</v>
      </c>
      <c r="M34" s="16">
        <v>0</v>
      </c>
      <c r="N34" s="16">
        <f t="shared" si="5"/>
        <v>2.6774272438248956</v>
      </c>
    </row>
    <row r="35" spans="1:16">
      <c r="A35" t="s">
        <v>133</v>
      </c>
      <c r="B35" s="12"/>
      <c r="C35" s="12"/>
      <c r="D35" s="12"/>
      <c r="E35" s="12"/>
      <c r="F35" s="12"/>
      <c r="G35" s="12"/>
      <c r="H35" s="12"/>
      <c r="I35" s="12"/>
      <c r="L35" s="16">
        <v>2.5610173636585958</v>
      </c>
      <c r="M35" s="16">
        <v>0</v>
      </c>
      <c r="N35" s="16">
        <f t="shared" si="5"/>
        <v>2.5610173636585958</v>
      </c>
    </row>
    <row r="36" spans="1:16">
      <c r="A36" t="s">
        <v>134</v>
      </c>
      <c r="B36" s="12"/>
      <c r="C36" s="12"/>
      <c r="D36" s="12"/>
      <c r="E36" s="12"/>
      <c r="F36" s="12"/>
      <c r="G36" s="12"/>
      <c r="H36" s="12"/>
      <c r="I36" s="12"/>
      <c r="L36" s="16">
        <v>2.444607483492296</v>
      </c>
      <c r="M36" s="16">
        <v>0</v>
      </c>
      <c r="N36" s="16">
        <f t="shared" si="5"/>
        <v>2.444607483492296</v>
      </c>
    </row>
    <row r="37" spans="1:16">
      <c r="A37" t="s">
        <v>135</v>
      </c>
      <c r="B37" s="12"/>
      <c r="C37" s="12"/>
      <c r="D37" s="12"/>
      <c r="E37" s="12"/>
      <c r="F37" s="12"/>
      <c r="G37" s="12"/>
      <c r="H37" s="12"/>
      <c r="I37" s="12"/>
      <c r="L37" s="16">
        <v>2.3281976033259966</v>
      </c>
      <c r="M37" s="16">
        <v>0</v>
      </c>
      <c r="N37" s="16">
        <f t="shared" si="5"/>
        <v>2.3281976033259966</v>
      </c>
    </row>
    <row r="38" spans="1:16">
      <c r="A38" t="s">
        <v>136</v>
      </c>
      <c r="B38" s="12"/>
      <c r="C38" s="12"/>
      <c r="D38" s="12"/>
      <c r="E38" s="12"/>
      <c r="F38" s="12"/>
      <c r="G38" s="12"/>
      <c r="H38" s="12"/>
      <c r="I38" s="12"/>
      <c r="L38" s="16">
        <v>2.2893943099372298</v>
      </c>
      <c r="M38" s="17">
        <v>2</v>
      </c>
      <c r="N38" s="16">
        <f t="shared" si="5"/>
        <v>0.28939430993722981</v>
      </c>
    </row>
    <row r="39" spans="1:16">
      <c r="A39" t="s">
        <v>137</v>
      </c>
      <c r="B39" s="12"/>
      <c r="C39" s="12"/>
      <c r="D39" s="12"/>
      <c r="E39" s="12"/>
      <c r="F39" s="12"/>
      <c r="G39" s="12"/>
      <c r="H39" s="12"/>
      <c r="I39" s="12"/>
      <c r="L39" s="16">
        <v>1.222303741746148</v>
      </c>
      <c r="M39" s="16">
        <v>0</v>
      </c>
      <c r="N39" s="16">
        <f t="shared" si="5"/>
        <v>1.222303741746148</v>
      </c>
    </row>
    <row r="40" spans="1:16">
      <c r="A40" t="s">
        <v>138</v>
      </c>
      <c r="B40" s="12"/>
      <c r="C40" s="12"/>
      <c r="D40" s="12"/>
      <c r="E40" s="12"/>
      <c r="F40" s="12"/>
      <c r="G40" s="12"/>
      <c r="H40" s="12"/>
      <c r="I40" s="12"/>
      <c r="L40" s="16">
        <v>0.40743458058204934</v>
      </c>
      <c r="M40" s="17">
        <v>0.4</v>
      </c>
      <c r="N40" s="16">
        <f t="shared" si="5"/>
        <v>7.4345805820493216E-3</v>
      </c>
    </row>
    <row r="41" spans="1:16" ht="15.75">
      <c r="L41" s="16">
        <f>SUM(L31:L40)</f>
        <v>26.444444444444439</v>
      </c>
      <c r="M41" s="16">
        <f>SUM(M31:M40)</f>
        <v>5.4</v>
      </c>
      <c r="N41" s="16">
        <f>SUM(N31:N40)</f>
        <v>21.044444444444444</v>
      </c>
      <c r="P41" s="26">
        <f>M41/L41</f>
        <v>0.20420168067226896</v>
      </c>
    </row>
    <row r="44" spans="1:16">
      <c r="D44" t="s">
        <v>47</v>
      </c>
      <c r="E44" t="s">
        <v>48</v>
      </c>
      <c r="M44" t="s">
        <v>47</v>
      </c>
      <c r="N44" t="s">
        <v>48</v>
      </c>
    </row>
    <row r="45" spans="1:16">
      <c r="B45" t="s">
        <v>140</v>
      </c>
      <c r="D45" s="12">
        <f t="shared" ref="D45:D56" si="6">F45-E45</f>
        <v>471.98882866979625</v>
      </c>
      <c r="E45" s="28">
        <v>0</v>
      </c>
      <c r="F45" s="12">
        <v>471.98882866979625</v>
      </c>
      <c r="K45" t="s">
        <v>145</v>
      </c>
      <c r="M45" s="12">
        <f t="shared" ref="M45:M56" si="7">O45-N45</f>
        <v>1250.6061833854737</v>
      </c>
      <c r="N45" s="27">
        <f>83.85+74.25</f>
        <v>158.1</v>
      </c>
      <c r="O45" s="12">
        <v>1408.7061833854737</v>
      </c>
    </row>
    <row r="46" spans="1:16">
      <c r="B46" t="s">
        <v>141</v>
      </c>
      <c r="D46" s="12">
        <f t="shared" si="6"/>
        <v>439.40673188123105</v>
      </c>
      <c r="E46" s="12">
        <v>0</v>
      </c>
      <c r="F46" s="12">
        <v>439.40673188123105</v>
      </c>
      <c r="K46" t="s">
        <v>142</v>
      </c>
      <c r="M46" s="12">
        <f t="shared" si="7"/>
        <v>31.779124170141017</v>
      </c>
      <c r="N46" s="27">
        <v>85.01</v>
      </c>
      <c r="O46" s="12">
        <v>116.78912417014102</v>
      </c>
    </row>
    <row r="47" spans="1:16">
      <c r="B47" t="s">
        <v>142</v>
      </c>
      <c r="D47" s="12">
        <f t="shared" si="6"/>
        <v>403.73855471259259</v>
      </c>
      <c r="E47" s="27">
        <f>1.88+27</f>
        <v>28.88</v>
      </c>
      <c r="F47" s="12">
        <v>432.61855471259258</v>
      </c>
      <c r="K47" t="s">
        <v>143</v>
      </c>
      <c r="M47" s="12">
        <f t="shared" si="7"/>
        <v>53.437828542134291</v>
      </c>
      <c r="N47" s="27">
        <v>39.1</v>
      </c>
      <c r="O47" s="12">
        <v>92.537828542134292</v>
      </c>
    </row>
    <row r="48" spans="1:16">
      <c r="B48" t="s">
        <v>65</v>
      </c>
      <c r="D48" s="12">
        <f t="shared" si="6"/>
        <v>305.85583699762265</v>
      </c>
      <c r="E48" s="27">
        <v>18</v>
      </c>
      <c r="F48" s="12">
        <v>323.85583699762265</v>
      </c>
      <c r="K48" t="s">
        <v>140</v>
      </c>
      <c r="M48" s="12">
        <f t="shared" si="7"/>
        <v>71.6896627641419</v>
      </c>
      <c r="N48" s="12">
        <v>0</v>
      </c>
      <c r="O48" s="12">
        <v>71.6896627641419</v>
      </c>
    </row>
    <row r="49" spans="2:17">
      <c r="B49" t="s">
        <v>62</v>
      </c>
      <c r="D49" s="12">
        <f t="shared" si="6"/>
        <v>110.93508351920133</v>
      </c>
      <c r="E49" s="27">
        <v>77</v>
      </c>
      <c r="F49" s="12">
        <v>187.93508351920133</v>
      </c>
      <c r="K49" t="s">
        <v>65</v>
      </c>
      <c r="M49" s="12">
        <f t="shared" si="7"/>
        <v>49.653986527299196</v>
      </c>
      <c r="N49" s="27">
        <v>21</v>
      </c>
      <c r="O49" s="12">
        <v>70.653986527299196</v>
      </c>
    </row>
    <row r="50" spans="2:17">
      <c r="B50" t="s">
        <v>63</v>
      </c>
      <c r="D50" s="12">
        <f t="shared" si="6"/>
        <v>83.068619646965487</v>
      </c>
      <c r="E50" s="27">
        <f>33+40</f>
        <v>73</v>
      </c>
      <c r="F50" s="12">
        <v>156.06861964696549</v>
      </c>
      <c r="K50" t="s">
        <v>144</v>
      </c>
      <c r="M50" s="12">
        <f t="shared" si="7"/>
        <v>37.415054157612289</v>
      </c>
      <c r="N50" s="12">
        <v>0</v>
      </c>
      <c r="O50" s="12">
        <v>37.415054157612289</v>
      </c>
    </row>
    <row r="51" spans="2:17">
      <c r="B51" t="s">
        <v>61</v>
      </c>
      <c r="D51" s="12">
        <f t="shared" si="6"/>
        <v>111.28331066856941</v>
      </c>
      <c r="E51" s="12">
        <v>0</v>
      </c>
      <c r="F51" s="12">
        <v>111.28331066856941</v>
      </c>
      <c r="K51" t="s">
        <v>141</v>
      </c>
      <c r="M51" s="12">
        <f t="shared" si="7"/>
        <v>32.201411744712459</v>
      </c>
      <c r="N51" s="12">
        <v>0</v>
      </c>
      <c r="O51" s="12">
        <v>32.201411744712459</v>
      </c>
    </row>
    <row r="52" spans="2:17">
      <c r="B52" t="s">
        <v>64</v>
      </c>
      <c r="D52" s="12">
        <f t="shared" si="6"/>
        <v>29.75568675162441</v>
      </c>
      <c r="E52" s="12">
        <v>0</v>
      </c>
      <c r="F52" s="12">
        <v>29.75568675162441</v>
      </c>
      <c r="K52" t="s">
        <v>61</v>
      </c>
      <c r="M52" s="12">
        <f t="shared" si="7"/>
        <v>21.759860395448008</v>
      </c>
      <c r="N52" s="12">
        <v>0</v>
      </c>
      <c r="O52" s="12">
        <v>21.759860395448008</v>
      </c>
    </row>
    <row r="53" spans="2:17">
      <c r="B53" t="s">
        <v>69</v>
      </c>
      <c r="D53" s="12">
        <f t="shared" si="6"/>
        <v>3.8794064944342819</v>
      </c>
      <c r="E53" s="12">
        <v>0</v>
      </c>
      <c r="F53" s="12">
        <v>3.8794064944342819</v>
      </c>
      <c r="K53" t="s">
        <v>66</v>
      </c>
      <c r="M53" s="12">
        <f t="shared" si="7"/>
        <v>1.3621537151393794</v>
      </c>
      <c r="N53" s="12">
        <v>0</v>
      </c>
      <c r="O53" s="12">
        <v>1.3621537151393794</v>
      </c>
    </row>
    <row r="54" spans="2:17">
      <c r="B54" t="s">
        <v>66</v>
      </c>
      <c r="D54" s="12">
        <f t="shared" si="6"/>
        <v>0</v>
      </c>
      <c r="E54" s="12">
        <v>0</v>
      </c>
      <c r="F54" s="12">
        <v>0</v>
      </c>
      <c r="K54" t="s">
        <v>68</v>
      </c>
      <c r="M54" s="12">
        <f t="shared" si="7"/>
        <v>0</v>
      </c>
      <c r="N54" s="12">
        <v>0</v>
      </c>
      <c r="O54" s="12">
        <v>0</v>
      </c>
    </row>
    <row r="55" spans="2:17">
      <c r="B55" t="s">
        <v>67</v>
      </c>
      <c r="D55" s="12">
        <f t="shared" si="6"/>
        <v>0</v>
      </c>
      <c r="E55" s="12">
        <v>0</v>
      </c>
      <c r="F55" s="12">
        <v>0</v>
      </c>
      <c r="K55" t="s">
        <v>67</v>
      </c>
      <c r="M55" s="12">
        <f t="shared" si="7"/>
        <v>0</v>
      </c>
      <c r="N55" s="12">
        <v>0</v>
      </c>
      <c r="O55" s="12">
        <v>0</v>
      </c>
    </row>
    <row r="56" spans="2:17">
      <c r="B56" t="s">
        <v>31</v>
      </c>
      <c r="D56" s="12">
        <f t="shared" si="6"/>
        <v>30.170376426507154</v>
      </c>
      <c r="E56" s="12">
        <v>0</v>
      </c>
      <c r="F56" s="12">
        <v>30.170376426507154</v>
      </c>
      <c r="K56" t="s">
        <v>31</v>
      </c>
      <c r="M56" s="12">
        <f t="shared" si="7"/>
        <v>66.13066110050336</v>
      </c>
      <c r="N56" s="12">
        <v>0</v>
      </c>
      <c r="O56" s="12">
        <v>66.13066110050336</v>
      </c>
    </row>
    <row r="57" spans="2:17" ht="15.75">
      <c r="D57" s="12">
        <f>SUM(D45:D56)</f>
        <v>1990.0824357685444</v>
      </c>
      <c r="E57" s="12">
        <f>SUM(E45:E56)</f>
        <v>196.88</v>
      </c>
      <c r="F57" s="12">
        <f>SUM(F45:F56)</f>
        <v>2186.9624357685448</v>
      </c>
      <c r="H57" s="26">
        <f>E57/F57</f>
        <v>9.002440864093407E-2</v>
      </c>
      <c r="M57" s="12">
        <f>SUM(M45:M56)</f>
        <v>1616.0359265026057</v>
      </c>
      <c r="N57" s="12">
        <f>SUM(N45:N56)</f>
        <v>303.21000000000004</v>
      </c>
      <c r="O57" s="12">
        <f>SUM(O45:O56)</f>
        <v>1919.2459265026057</v>
      </c>
      <c r="Q57" s="26">
        <f>N57/O57</f>
        <v>0.15798392265056521</v>
      </c>
    </row>
    <row r="68" spans="1:7">
      <c r="A68" s="29"/>
      <c r="B68" s="29" t="s">
        <v>70</v>
      </c>
      <c r="C68" s="29" t="s">
        <v>71</v>
      </c>
      <c r="D68" s="29" t="s">
        <v>72</v>
      </c>
      <c r="E68" s="29" t="s">
        <v>27</v>
      </c>
      <c r="F68" t="s">
        <v>73</v>
      </c>
      <c r="G68" t="s">
        <v>74</v>
      </c>
    </row>
    <row r="69" spans="1:7">
      <c r="A69" s="29" t="s">
        <v>75</v>
      </c>
      <c r="B69" s="29">
        <v>33.5</v>
      </c>
      <c r="C69" s="29">
        <v>11.5</v>
      </c>
      <c r="D69" s="29">
        <v>0</v>
      </c>
      <c r="E69" s="29">
        <f>SUM(B69:D69)</f>
        <v>45</v>
      </c>
      <c r="F69">
        <v>9</v>
      </c>
      <c r="G69" s="13">
        <f>E69/F69</f>
        <v>5</v>
      </c>
    </row>
    <row r="70" spans="1:7">
      <c r="A70" s="29" t="s">
        <v>2</v>
      </c>
      <c r="B70" s="29">
        <v>37</v>
      </c>
      <c r="C70" s="29">
        <v>2.5</v>
      </c>
      <c r="D70" s="29">
        <v>0</v>
      </c>
      <c r="E70" s="29">
        <f>SUM(B70:D70)</f>
        <v>39.5</v>
      </c>
      <c r="F70">
        <v>11</v>
      </c>
      <c r="G70" s="13">
        <f>E70/F70</f>
        <v>3.5909090909090908</v>
      </c>
    </row>
    <row r="71" spans="1:7">
      <c r="A71" s="29" t="s">
        <v>3</v>
      </c>
      <c r="B71" s="29">
        <v>29.5</v>
      </c>
      <c r="C71" s="29">
        <v>13.5</v>
      </c>
      <c r="D71" s="29">
        <v>7</v>
      </c>
      <c r="E71" s="29">
        <f>SUM(B71:D71)</f>
        <v>50</v>
      </c>
      <c r="F71">
        <v>7</v>
      </c>
      <c r="G71" s="13">
        <f>E71/F71</f>
        <v>7.1428571428571432</v>
      </c>
    </row>
    <row r="72" spans="1:7">
      <c r="A72" s="29" t="s">
        <v>6</v>
      </c>
      <c r="B72" s="29">
        <v>54.5</v>
      </c>
      <c r="C72" s="29">
        <v>47.5</v>
      </c>
      <c r="D72" s="29">
        <v>0</v>
      </c>
      <c r="E72" s="29">
        <f>SUM(B72:D72)</f>
        <v>102</v>
      </c>
      <c r="F72">
        <v>13</v>
      </c>
      <c r="G72" s="13">
        <f>E72/F72</f>
        <v>7.8461538461538458</v>
      </c>
    </row>
    <row r="73" spans="1:7">
      <c r="A73" s="29"/>
      <c r="B73" s="29">
        <f>SUM(B69:B72)</f>
        <v>154.5</v>
      </c>
      <c r="C73" s="29">
        <f>SUM(C69:C72)</f>
        <v>75</v>
      </c>
      <c r="D73" s="29">
        <f>SUM(D69:D72)</f>
        <v>7</v>
      </c>
      <c r="E73" s="29"/>
      <c r="F73">
        <f>SUM(F69:F72)</f>
        <v>40</v>
      </c>
    </row>
  </sheetData>
  <pageMargins left="0.7" right="0.7" top="0.75" bottom="0.75" header="0.3" footer="0.3"/>
  <pageSetup paperSize="9" scale="20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116"/>
  <sheetViews>
    <sheetView view="pageBreakPreview" topLeftCell="A87" zoomScaleNormal="100" zoomScaleSheetLayoutView="100" workbookViewId="0">
      <selection activeCell="B111" sqref="B111"/>
    </sheetView>
  </sheetViews>
  <sheetFormatPr defaultRowHeight="12.75"/>
  <cols>
    <col min="1" max="1" width="20.85546875" style="1" customWidth="1"/>
    <col min="2" max="18" width="7" style="1" customWidth="1"/>
    <col min="19" max="20" width="7" style="33" customWidth="1"/>
    <col min="21" max="22" width="7" style="1" customWidth="1"/>
    <col min="23" max="23" width="18.7109375" style="1" bestFit="1" customWidth="1"/>
    <col min="24" max="16384" width="9.140625" style="1"/>
  </cols>
  <sheetData>
    <row r="1" spans="1:42" ht="21">
      <c r="A1" s="3" t="s">
        <v>163</v>
      </c>
    </row>
    <row r="3" spans="1:42" ht="23.25">
      <c r="A3" s="44" t="s">
        <v>212</v>
      </c>
      <c r="W3" s="44" t="s">
        <v>215</v>
      </c>
      <c r="AN3" s="33"/>
      <c r="AO3" s="33"/>
    </row>
    <row r="4" spans="1:42">
      <c r="A4" s="4" t="s">
        <v>42</v>
      </c>
      <c r="B4" s="4">
        <v>2017</v>
      </c>
      <c r="C4" s="4">
        <v>2018</v>
      </c>
      <c r="D4" s="4">
        <v>2019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S4" s="33" t="s">
        <v>48</v>
      </c>
      <c r="T4" s="33" t="s">
        <v>47</v>
      </c>
      <c r="W4" s="4" t="s">
        <v>188</v>
      </c>
      <c r="X4" s="4">
        <v>2017</v>
      </c>
      <c r="Y4" s="4">
        <v>2018</v>
      </c>
      <c r="Z4" s="4" t="s">
        <v>7</v>
      </c>
      <c r="AA4" s="4" t="s">
        <v>8</v>
      </c>
      <c r="AB4" s="4" t="s">
        <v>9</v>
      </c>
      <c r="AC4" s="4" t="s">
        <v>10</v>
      </c>
      <c r="AD4" s="4" t="s">
        <v>11</v>
      </c>
      <c r="AE4" s="4" t="s">
        <v>12</v>
      </c>
      <c r="AF4" s="4" t="s">
        <v>13</v>
      </c>
      <c r="AG4" s="4" t="s">
        <v>14</v>
      </c>
      <c r="AH4" s="4" t="s">
        <v>15</v>
      </c>
      <c r="AI4" s="4" t="s">
        <v>16</v>
      </c>
      <c r="AJ4" s="4" t="s">
        <v>17</v>
      </c>
      <c r="AK4" s="4" t="s">
        <v>18</v>
      </c>
      <c r="AN4" s="33" t="s">
        <v>28</v>
      </c>
      <c r="AO4" s="33" t="s">
        <v>4</v>
      </c>
    </row>
    <row r="5" spans="1:42">
      <c r="A5" s="2" t="s">
        <v>164</v>
      </c>
      <c r="B5" s="7">
        <v>0</v>
      </c>
      <c r="C5" s="7">
        <v>16</v>
      </c>
      <c r="D5" s="7">
        <v>0</v>
      </c>
      <c r="E5" s="7"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S5" s="33">
        <v>14</v>
      </c>
      <c r="T5" s="33">
        <f>C5-S5</f>
        <v>2</v>
      </c>
      <c r="W5" s="2" t="s">
        <v>164</v>
      </c>
      <c r="X5" s="9">
        <v>0.94910000000000005</v>
      </c>
      <c r="Y5" s="11">
        <v>0.95650370370370374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N5" s="15">
        <f>Y5</f>
        <v>0.95650370370370374</v>
      </c>
      <c r="AO5" s="15">
        <v>0.98</v>
      </c>
    </row>
    <row r="6" spans="1:42">
      <c r="A6" s="2" t="s">
        <v>185</v>
      </c>
      <c r="B6" s="7">
        <v>2</v>
      </c>
      <c r="C6" s="7">
        <v>1</v>
      </c>
      <c r="D6" s="7">
        <v>0</v>
      </c>
      <c r="E6" s="7">
        <v>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S6" s="33">
        <v>0</v>
      </c>
      <c r="T6" s="33">
        <f>C6-S6</f>
        <v>1</v>
      </c>
      <c r="W6" s="2" t="s">
        <v>185</v>
      </c>
      <c r="X6" s="9">
        <v>0.97699999999999998</v>
      </c>
      <c r="Y6" s="11">
        <v>0.9734166666666666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N6" s="15">
        <f>Y6</f>
        <v>0.9734166666666666</v>
      </c>
      <c r="AO6" s="15">
        <v>0.98</v>
      </c>
    </row>
    <row r="7" spans="1:42">
      <c r="A7" s="2" t="s">
        <v>166</v>
      </c>
      <c r="B7" s="7">
        <v>1</v>
      </c>
      <c r="C7" s="7">
        <v>0</v>
      </c>
      <c r="D7" s="7">
        <v>0</v>
      </c>
      <c r="E7" s="7">
        <v>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S7" s="33">
        <v>0</v>
      </c>
      <c r="T7" s="33">
        <f>C7-S7</f>
        <v>0</v>
      </c>
      <c r="W7" s="2" t="s">
        <v>166</v>
      </c>
      <c r="X7" s="11">
        <v>0.93677777777777771</v>
      </c>
      <c r="Y7" s="11">
        <v>0.98416666666666675</v>
      </c>
      <c r="Z7" s="11"/>
      <c r="AA7" s="11"/>
      <c r="AB7" s="11"/>
      <c r="AC7" s="11"/>
      <c r="AD7" s="9"/>
      <c r="AE7" s="9"/>
      <c r="AF7" s="11"/>
      <c r="AG7" s="11"/>
      <c r="AH7" s="11"/>
      <c r="AI7" s="11"/>
      <c r="AJ7" s="11"/>
      <c r="AK7" s="11"/>
      <c r="AL7" s="5"/>
      <c r="AM7" s="5"/>
      <c r="AN7" s="15">
        <f>Y7</f>
        <v>0.98416666666666675</v>
      </c>
      <c r="AO7" s="15">
        <v>0.98</v>
      </c>
      <c r="AP7" s="5"/>
    </row>
    <row r="8" spans="1:42">
      <c r="A8" s="2" t="s">
        <v>167</v>
      </c>
      <c r="B8" s="7">
        <v>6</v>
      </c>
      <c r="C8" s="7">
        <v>4</v>
      </c>
      <c r="D8" s="7">
        <v>0</v>
      </c>
      <c r="E8" s="7">
        <v>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S8" s="33">
        <v>2</v>
      </c>
      <c r="T8" s="33">
        <f>C8-S8</f>
        <v>2</v>
      </c>
      <c r="W8" s="2" t="s">
        <v>167</v>
      </c>
      <c r="X8" s="11">
        <v>0.96799999999999997</v>
      </c>
      <c r="Y8" s="11">
        <v>0.97566666666666657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N8" s="15">
        <f>Y8</f>
        <v>0.97566666666666657</v>
      </c>
      <c r="AO8" s="15">
        <v>0.98</v>
      </c>
    </row>
    <row r="9" spans="1:42">
      <c r="A9" s="2" t="s">
        <v>44</v>
      </c>
      <c r="B9" s="7">
        <f>SUM(B5:B8)</f>
        <v>9</v>
      </c>
      <c r="C9" s="7">
        <f>SUM(C5:C8)</f>
        <v>21</v>
      </c>
      <c r="D9" s="7">
        <f>SUM(D5:D8)</f>
        <v>0</v>
      </c>
      <c r="E9" s="7">
        <f>SUM(E5:E8)</f>
        <v>1</v>
      </c>
      <c r="F9" s="7">
        <f t="shared" ref="F9:P9" si="0">SUM(F5:F8)</f>
        <v>0</v>
      </c>
      <c r="G9" s="7">
        <f t="shared" si="0"/>
        <v>0</v>
      </c>
      <c r="H9" s="7">
        <f t="shared" si="0"/>
        <v>0</v>
      </c>
      <c r="I9" s="7">
        <f t="shared" si="0"/>
        <v>0</v>
      </c>
      <c r="J9" s="7">
        <f t="shared" si="0"/>
        <v>0</v>
      </c>
      <c r="K9" s="7">
        <f t="shared" si="0"/>
        <v>0</v>
      </c>
      <c r="L9" s="7">
        <f t="shared" si="0"/>
        <v>0</v>
      </c>
      <c r="M9" s="7">
        <f t="shared" si="0"/>
        <v>0</v>
      </c>
      <c r="N9" s="7">
        <f t="shared" si="0"/>
        <v>0</v>
      </c>
      <c r="O9" s="7">
        <f t="shared" si="0"/>
        <v>0</v>
      </c>
      <c r="P9" s="7">
        <f t="shared" si="0"/>
        <v>0</v>
      </c>
      <c r="S9" s="33">
        <f>SUM(S5:S8)</f>
        <v>16</v>
      </c>
      <c r="T9" s="33">
        <f>SUM(T5:T8)</f>
        <v>5</v>
      </c>
      <c r="W9" s="2" t="s">
        <v>191</v>
      </c>
      <c r="X9" s="9"/>
      <c r="Y9" s="11">
        <v>0.96104404918752728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N9" s="15">
        <f>Y9</f>
        <v>0.96104404918752728</v>
      </c>
      <c r="AO9" s="15">
        <v>0.98</v>
      </c>
    </row>
    <row r="10" spans="1:42">
      <c r="A10" s="2" t="s">
        <v>30</v>
      </c>
      <c r="B10" s="34"/>
      <c r="C10" s="10">
        <v>8</v>
      </c>
      <c r="D10" s="10"/>
      <c r="E10" s="10">
        <f>C9-S10</f>
        <v>17</v>
      </c>
      <c r="F10" s="10">
        <f>E10</f>
        <v>17</v>
      </c>
      <c r="G10" s="10">
        <f>F10</f>
        <v>17</v>
      </c>
      <c r="H10" s="10">
        <f>G10-S10</f>
        <v>13</v>
      </c>
      <c r="I10" s="10">
        <f>H10</f>
        <v>13</v>
      </c>
      <c r="J10" s="10">
        <f>I10</f>
        <v>13</v>
      </c>
      <c r="K10" s="10">
        <f>J10-S10</f>
        <v>9</v>
      </c>
      <c r="L10" s="10">
        <f>K10</f>
        <v>9</v>
      </c>
      <c r="M10" s="10">
        <f>L10</f>
        <v>9</v>
      </c>
      <c r="N10" s="10">
        <f>M10-S10</f>
        <v>5</v>
      </c>
      <c r="O10" s="10">
        <f>N10</f>
        <v>5</v>
      </c>
      <c r="P10" s="10">
        <f>O10</f>
        <v>5</v>
      </c>
      <c r="S10" s="33">
        <f>S9/4</f>
        <v>4</v>
      </c>
      <c r="T10" s="33">
        <f>T9/4</f>
        <v>1.25</v>
      </c>
      <c r="W10" s="2" t="s">
        <v>56</v>
      </c>
      <c r="X10" s="11">
        <f>AVERAGE(X5:X9)</f>
        <v>0.95771944444444435</v>
      </c>
      <c r="Y10" s="11">
        <f>AVERAGE(Y5:Y9)</f>
        <v>0.97015955057824621</v>
      </c>
      <c r="Z10" s="11" t="e">
        <f>AVERAGE(Z5:Z9)</f>
        <v>#DIV/0!</v>
      </c>
      <c r="AA10" s="11" t="e">
        <f t="shared" ref="AA10:AK10" si="1">AVERAGE(AA5:AA9)</f>
        <v>#DIV/0!</v>
      </c>
      <c r="AB10" s="11" t="e">
        <f t="shared" si="1"/>
        <v>#DIV/0!</v>
      </c>
      <c r="AC10" s="11" t="e">
        <f t="shared" si="1"/>
        <v>#DIV/0!</v>
      </c>
      <c r="AD10" s="11" t="e">
        <f t="shared" si="1"/>
        <v>#DIV/0!</v>
      </c>
      <c r="AE10" s="11" t="e">
        <f t="shared" si="1"/>
        <v>#DIV/0!</v>
      </c>
      <c r="AF10" s="11" t="e">
        <f t="shared" si="1"/>
        <v>#DIV/0!</v>
      </c>
      <c r="AG10" s="11" t="e">
        <f t="shared" si="1"/>
        <v>#DIV/0!</v>
      </c>
      <c r="AH10" s="11" t="e">
        <f t="shared" si="1"/>
        <v>#DIV/0!</v>
      </c>
      <c r="AI10" s="11" t="e">
        <f t="shared" si="1"/>
        <v>#DIV/0!</v>
      </c>
      <c r="AJ10" s="11" t="e">
        <f t="shared" si="1"/>
        <v>#DIV/0!</v>
      </c>
      <c r="AK10" s="11" t="e">
        <f t="shared" si="1"/>
        <v>#DIV/0!</v>
      </c>
      <c r="AL10" s="6"/>
      <c r="AM10" s="6"/>
      <c r="AN10" s="15">
        <f>AVERAGE(AN5:AN9)</f>
        <v>0.97015955057824621</v>
      </c>
      <c r="AO10" s="15">
        <f>AVERAGE(AO5:AO9)</f>
        <v>0.98000000000000009</v>
      </c>
      <c r="AP10" s="6"/>
    </row>
    <row r="11" spans="1:42">
      <c r="A11" s="2" t="s">
        <v>199</v>
      </c>
      <c r="B11" s="34">
        <f t="shared" ref="B11:P11" si="2">B18</f>
        <v>9</v>
      </c>
      <c r="C11" s="34">
        <f t="shared" si="2"/>
        <v>21</v>
      </c>
      <c r="D11" s="34"/>
      <c r="E11" s="34">
        <f t="shared" si="2"/>
        <v>1</v>
      </c>
      <c r="F11" s="34">
        <f t="shared" si="2"/>
        <v>1</v>
      </c>
      <c r="G11" s="34">
        <f t="shared" si="2"/>
        <v>1</v>
      </c>
      <c r="H11" s="34">
        <f t="shared" si="2"/>
        <v>1</v>
      </c>
      <c r="I11" s="34">
        <f t="shared" si="2"/>
        <v>1</v>
      </c>
      <c r="J11" s="34">
        <f t="shared" si="2"/>
        <v>1</v>
      </c>
      <c r="K11" s="34">
        <f t="shared" si="2"/>
        <v>1</v>
      </c>
      <c r="L11" s="34">
        <f t="shared" si="2"/>
        <v>1</v>
      </c>
      <c r="M11" s="34">
        <f t="shared" si="2"/>
        <v>1</v>
      </c>
      <c r="N11" s="34">
        <f t="shared" si="2"/>
        <v>1</v>
      </c>
      <c r="O11" s="34">
        <f t="shared" si="2"/>
        <v>1</v>
      </c>
      <c r="P11" s="34">
        <f t="shared" si="2"/>
        <v>1</v>
      </c>
      <c r="T11" s="15"/>
      <c r="W11" s="2" t="s">
        <v>30</v>
      </c>
      <c r="X11" s="11">
        <v>0.98</v>
      </c>
      <c r="Y11" s="11">
        <v>0.98000000000000032</v>
      </c>
      <c r="Z11" s="11">
        <v>0.98000000000000032</v>
      </c>
      <c r="AA11" s="11">
        <v>0.98000000000000032</v>
      </c>
      <c r="AB11" s="11">
        <v>0.98000000000000032</v>
      </c>
      <c r="AC11" s="11">
        <v>0.98000000000000032</v>
      </c>
      <c r="AD11" s="11">
        <v>0.98000000000000032</v>
      </c>
      <c r="AE11" s="11">
        <v>0.98000000000000032</v>
      </c>
      <c r="AF11" s="11">
        <v>0.98000000000000032</v>
      </c>
      <c r="AG11" s="11">
        <v>0.98000000000000032</v>
      </c>
      <c r="AH11" s="11">
        <v>0.98000000000000032</v>
      </c>
      <c r="AI11" s="11">
        <v>0.98000000000000032</v>
      </c>
      <c r="AJ11" s="11">
        <v>0.98000000000000032</v>
      </c>
      <c r="AK11" s="11">
        <v>0.98000000000000032</v>
      </c>
      <c r="AN11" s="15"/>
      <c r="AO11" s="15"/>
    </row>
    <row r="12" spans="1:42">
      <c r="AN12" s="33"/>
      <c r="AO12" s="33"/>
    </row>
    <row r="13" spans="1:42" hidden="1">
      <c r="A13" s="4" t="s">
        <v>42</v>
      </c>
      <c r="B13" s="4">
        <v>2017</v>
      </c>
      <c r="C13" s="4">
        <v>2018</v>
      </c>
      <c r="D13" s="4"/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W13" s="4" t="s">
        <v>204</v>
      </c>
      <c r="X13" s="4">
        <v>2017</v>
      </c>
      <c r="Y13" s="4">
        <v>2018</v>
      </c>
      <c r="Z13" s="4" t="s">
        <v>7</v>
      </c>
      <c r="AA13" s="4" t="s">
        <v>8</v>
      </c>
      <c r="AB13" s="4" t="s">
        <v>9</v>
      </c>
      <c r="AC13" s="4" t="s">
        <v>10</v>
      </c>
      <c r="AD13" s="4" t="s">
        <v>11</v>
      </c>
      <c r="AE13" s="4" t="s">
        <v>12</v>
      </c>
      <c r="AF13" s="4" t="s">
        <v>13</v>
      </c>
      <c r="AG13" s="4" t="s">
        <v>14</v>
      </c>
      <c r="AH13" s="4" t="s">
        <v>15</v>
      </c>
      <c r="AI13" s="4" t="s">
        <v>16</v>
      </c>
      <c r="AJ13" s="4" t="s">
        <v>17</v>
      </c>
      <c r="AK13" s="4" t="s">
        <v>18</v>
      </c>
      <c r="AN13" s="33" t="s">
        <v>28</v>
      </c>
      <c r="AO13" s="33" t="s">
        <v>4</v>
      </c>
    </row>
    <row r="14" spans="1:42" hidden="1">
      <c r="A14" s="2" t="s">
        <v>164</v>
      </c>
      <c r="B14" s="10">
        <v>0</v>
      </c>
      <c r="C14" s="10">
        <f t="shared" ref="C14:E17" si="3">C5</f>
        <v>16</v>
      </c>
      <c r="D14" s="10"/>
      <c r="E14" s="10">
        <f t="shared" si="3"/>
        <v>0</v>
      </c>
      <c r="F14" s="10">
        <f>SUM(E5:F5)</f>
        <v>0</v>
      </c>
      <c r="G14" s="10">
        <f>SUM(E5:G5)</f>
        <v>0</v>
      </c>
      <c r="H14" s="10">
        <f>SUM(E5:H5)</f>
        <v>0</v>
      </c>
      <c r="I14" s="10">
        <f>SUM(E5:I5)</f>
        <v>0</v>
      </c>
      <c r="J14" s="10">
        <f>SUM(E5:J5)</f>
        <v>0</v>
      </c>
      <c r="K14" s="10">
        <f>SUM(E5:K5)</f>
        <v>0</v>
      </c>
      <c r="L14" s="10">
        <f>SUM(E5:L5)</f>
        <v>0</v>
      </c>
      <c r="M14" s="10">
        <f>SUM(E5:M5)</f>
        <v>0</v>
      </c>
      <c r="N14" s="10">
        <f>SUM(E5:N5)</f>
        <v>0</v>
      </c>
      <c r="O14" s="10">
        <f>SUM(E5:O5)</f>
        <v>0</v>
      </c>
      <c r="P14" s="10">
        <f>SUM(E5:P5)</f>
        <v>0</v>
      </c>
      <c r="W14" s="2" t="s">
        <v>205</v>
      </c>
      <c r="X14" s="8"/>
      <c r="Y14" s="10">
        <v>2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N14" s="38">
        <f>Y14</f>
        <v>2</v>
      </c>
      <c r="AO14" s="38">
        <v>0</v>
      </c>
      <c r="AP14" s="15">
        <f>AO14/$AN$18</f>
        <v>0</v>
      </c>
    </row>
    <row r="15" spans="1:42" hidden="1">
      <c r="A15" s="2" t="s">
        <v>185</v>
      </c>
      <c r="B15" s="10">
        <v>2</v>
      </c>
      <c r="C15" s="10">
        <f t="shared" si="3"/>
        <v>1</v>
      </c>
      <c r="D15" s="10"/>
      <c r="E15" s="10">
        <f t="shared" si="3"/>
        <v>0</v>
      </c>
      <c r="F15" s="10">
        <f>SUM(E6:F6)</f>
        <v>0</v>
      </c>
      <c r="G15" s="10">
        <f>SUM(E6:G6)</f>
        <v>0</v>
      </c>
      <c r="H15" s="10">
        <f>SUM(E6:H6)</f>
        <v>0</v>
      </c>
      <c r="I15" s="10">
        <f>SUM(E6:I6)</f>
        <v>0</v>
      </c>
      <c r="J15" s="10">
        <f>SUM(E6:J6)</f>
        <v>0</v>
      </c>
      <c r="K15" s="10">
        <f>SUM(E6:K6)</f>
        <v>0</v>
      </c>
      <c r="L15" s="10">
        <f>SUM(E6:L6)</f>
        <v>0</v>
      </c>
      <c r="M15" s="10">
        <f>SUM(E6:M6)</f>
        <v>0</v>
      </c>
      <c r="N15" s="10">
        <f>SUM(E6:N6)</f>
        <v>0</v>
      </c>
      <c r="O15" s="10">
        <f>SUM(E6:O6)</f>
        <v>0</v>
      </c>
      <c r="P15" s="10">
        <f>SUM(E6:P6)</f>
        <v>0</v>
      </c>
      <c r="W15" s="2" t="s">
        <v>206</v>
      </c>
      <c r="X15" s="8"/>
      <c r="Y15" s="10">
        <v>4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N15" s="38">
        <f>Y15</f>
        <v>4</v>
      </c>
      <c r="AO15" s="38">
        <v>3</v>
      </c>
      <c r="AP15" s="15">
        <f>AO15/$AN$18</f>
        <v>0.1111111111111111</v>
      </c>
    </row>
    <row r="16" spans="1:42" hidden="1">
      <c r="A16" s="2" t="s">
        <v>166</v>
      </c>
      <c r="B16" s="10">
        <v>1</v>
      </c>
      <c r="C16" s="10">
        <f t="shared" si="3"/>
        <v>0</v>
      </c>
      <c r="D16" s="10"/>
      <c r="E16" s="10">
        <f t="shared" si="3"/>
        <v>1</v>
      </c>
      <c r="F16" s="10">
        <f>SUM(E7:F7)</f>
        <v>1</v>
      </c>
      <c r="G16" s="10">
        <f>SUM(E7:G7)</f>
        <v>1</v>
      </c>
      <c r="H16" s="10">
        <f>SUM(E7:H7)</f>
        <v>1</v>
      </c>
      <c r="I16" s="10">
        <f>SUM(E7:I7)</f>
        <v>1</v>
      </c>
      <c r="J16" s="10">
        <f>SUM(E7:J7)</f>
        <v>1</v>
      </c>
      <c r="K16" s="10">
        <f>SUM(E7:K7)</f>
        <v>1</v>
      </c>
      <c r="L16" s="10">
        <f>SUM(E7:L7)</f>
        <v>1</v>
      </c>
      <c r="M16" s="10">
        <f>SUM(E7:M7)</f>
        <v>1</v>
      </c>
      <c r="N16" s="10">
        <f>SUM(E7:N7)</f>
        <v>1</v>
      </c>
      <c r="O16" s="10">
        <f>SUM(E7:O7)</f>
        <v>1</v>
      </c>
      <c r="P16" s="10">
        <f>SUM(E7:P7)</f>
        <v>1</v>
      </c>
      <c r="W16" s="2" t="s">
        <v>207</v>
      </c>
      <c r="X16" s="10"/>
      <c r="Y16" s="10">
        <v>15</v>
      </c>
      <c r="Z16" s="10"/>
      <c r="AA16" s="10"/>
      <c r="AB16" s="10"/>
      <c r="AC16" s="10"/>
      <c r="AD16" s="8"/>
      <c r="AE16" s="8"/>
      <c r="AF16" s="10"/>
      <c r="AG16" s="10"/>
      <c r="AH16" s="10"/>
      <c r="AI16" s="10"/>
      <c r="AJ16" s="10"/>
      <c r="AK16" s="10"/>
      <c r="AN16" s="38">
        <f>Y16</f>
        <v>15</v>
      </c>
      <c r="AO16" s="38">
        <v>16</v>
      </c>
      <c r="AP16" s="15">
        <f>AO16/$AN$18</f>
        <v>0.59259259259259256</v>
      </c>
    </row>
    <row r="17" spans="1:42" hidden="1">
      <c r="A17" s="2" t="s">
        <v>167</v>
      </c>
      <c r="B17" s="10">
        <v>6</v>
      </c>
      <c r="C17" s="10">
        <f t="shared" si="3"/>
        <v>4</v>
      </c>
      <c r="D17" s="10"/>
      <c r="E17" s="10">
        <f t="shared" si="3"/>
        <v>0</v>
      </c>
      <c r="F17" s="10">
        <f>SUM(E8:F8)</f>
        <v>0</v>
      </c>
      <c r="G17" s="10">
        <f>SUM(E8:G8)</f>
        <v>0</v>
      </c>
      <c r="H17" s="10">
        <f>SUM(E8:H8)</f>
        <v>0</v>
      </c>
      <c r="I17" s="10">
        <f>SUM(E8:I8)</f>
        <v>0</v>
      </c>
      <c r="J17" s="10">
        <f>SUM(E8:J8)</f>
        <v>0</v>
      </c>
      <c r="K17" s="10">
        <f>SUM(E8:K8)</f>
        <v>0</v>
      </c>
      <c r="L17" s="10">
        <f>SUM(E8:L8)</f>
        <v>0</v>
      </c>
      <c r="M17" s="10">
        <f>SUM(E8:M8)</f>
        <v>0</v>
      </c>
      <c r="N17" s="10">
        <f>SUM(E8:N8)</f>
        <v>0</v>
      </c>
      <c r="O17" s="10">
        <f>SUM(E8:O8)</f>
        <v>0</v>
      </c>
      <c r="P17" s="10">
        <f>SUM(E8:P8)</f>
        <v>0</v>
      </c>
      <c r="W17" s="2" t="s">
        <v>208</v>
      </c>
      <c r="X17" s="10"/>
      <c r="Y17" s="10">
        <v>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N17" s="38">
        <f>Y17</f>
        <v>6</v>
      </c>
      <c r="AO17" s="38">
        <v>8</v>
      </c>
      <c r="AP17" s="15">
        <f>AO17/$AN$18</f>
        <v>0.29629629629629628</v>
      </c>
    </row>
    <row r="18" spans="1:42" hidden="1">
      <c r="A18" s="2" t="s">
        <v>44</v>
      </c>
      <c r="B18" s="10">
        <f t="shared" ref="B18:P18" si="4">SUM(B14:B17)</f>
        <v>9</v>
      </c>
      <c r="C18" s="10">
        <f t="shared" si="4"/>
        <v>21</v>
      </c>
      <c r="D18" s="10"/>
      <c r="E18" s="10">
        <f t="shared" si="4"/>
        <v>1</v>
      </c>
      <c r="F18" s="10">
        <f t="shared" si="4"/>
        <v>1</v>
      </c>
      <c r="G18" s="10">
        <f t="shared" si="4"/>
        <v>1</v>
      </c>
      <c r="H18" s="10">
        <f t="shared" si="4"/>
        <v>1</v>
      </c>
      <c r="I18" s="10">
        <f t="shared" si="4"/>
        <v>1</v>
      </c>
      <c r="J18" s="10">
        <f t="shared" si="4"/>
        <v>1</v>
      </c>
      <c r="K18" s="10">
        <f t="shared" si="4"/>
        <v>1</v>
      </c>
      <c r="L18" s="10">
        <f t="shared" si="4"/>
        <v>1</v>
      </c>
      <c r="M18" s="10">
        <f t="shared" si="4"/>
        <v>1</v>
      </c>
      <c r="N18" s="10">
        <f t="shared" si="4"/>
        <v>1</v>
      </c>
      <c r="O18" s="10">
        <f t="shared" si="4"/>
        <v>1</v>
      </c>
      <c r="P18" s="10">
        <f t="shared" si="4"/>
        <v>1</v>
      </c>
      <c r="W18" s="2" t="s">
        <v>27</v>
      </c>
      <c r="X18" s="10"/>
      <c r="Y18" s="10">
        <f>SUM(Y14:Y17)</f>
        <v>27</v>
      </c>
      <c r="Z18" s="10">
        <f t="shared" ref="Z18:AK18" si="5">SUM(Z14:Z17)</f>
        <v>0</v>
      </c>
      <c r="AA18" s="10">
        <f t="shared" si="5"/>
        <v>0</v>
      </c>
      <c r="AB18" s="10">
        <f t="shared" si="5"/>
        <v>0</v>
      </c>
      <c r="AC18" s="10">
        <f t="shared" si="5"/>
        <v>0</v>
      </c>
      <c r="AD18" s="10">
        <f t="shared" si="5"/>
        <v>0</v>
      </c>
      <c r="AE18" s="10">
        <f t="shared" si="5"/>
        <v>0</v>
      </c>
      <c r="AF18" s="10">
        <f t="shared" si="5"/>
        <v>0</v>
      </c>
      <c r="AG18" s="10">
        <f t="shared" si="5"/>
        <v>0</v>
      </c>
      <c r="AH18" s="10">
        <f t="shared" si="5"/>
        <v>0</v>
      </c>
      <c r="AI18" s="10">
        <f t="shared" si="5"/>
        <v>0</v>
      </c>
      <c r="AJ18" s="10">
        <f t="shared" si="5"/>
        <v>0</v>
      </c>
      <c r="AK18" s="10">
        <f t="shared" si="5"/>
        <v>0</v>
      </c>
      <c r="AN18" s="38">
        <f>SUM(AN14:AN17)</f>
        <v>27</v>
      </c>
      <c r="AO18" s="38">
        <f>SUM(AO14:AO17)</f>
        <v>27</v>
      </c>
      <c r="AP18" s="15">
        <f>SUM(AP14:AP17)</f>
        <v>1</v>
      </c>
    </row>
    <row r="19" spans="1:42" hidden="1">
      <c r="W19" s="5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N19" s="33"/>
      <c r="AO19" s="33"/>
    </row>
    <row r="20" spans="1:42">
      <c r="A20" s="4" t="s">
        <v>29</v>
      </c>
      <c r="B20" s="4">
        <v>2017</v>
      </c>
      <c r="C20" s="4">
        <v>2018</v>
      </c>
      <c r="D20" s="4">
        <v>2019</v>
      </c>
      <c r="E20" s="4" t="s">
        <v>7</v>
      </c>
      <c r="F20" s="4" t="s">
        <v>8</v>
      </c>
      <c r="G20" s="4" t="s">
        <v>9</v>
      </c>
      <c r="H20" s="4" t="s">
        <v>10</v>
      </c>
      <c r="I20" s="4" t="s">
        <v>11</v>
      </c>
      <c r="J20" s="4" t="s">
        <v>12</v>
      </c>
      <c r="K20" s="4" t="s">
        <v>13</v>
      </c>
      <c r="L20" s="4" t="s">
        <v>14</v>
      </c>
      <c r="M20" s="4" t="s">
        <v>15</v>
      </c>
      <c r="N20" s="4" t="s">
        <v>16</v>
      </c>
      <c r="O20" s="4" t="s">
        <v>17</v>
      </c>
      <c r="P20" s="4" t="s">
        <v>18</v>
      </c>
      <c r="S20" s="33" t="s">
        <v>48</v>
      </c>
      <c r="T20" s="33" t="s">
        <v>47</v>
      </c>
      <c r="W20" s="4" t="s">
        <v>209</v>
      </c>
      <c r="X20" s="4">
        <v>2017</v>
      </c>
      <c r="Y20" s="4">
        <v>2018</v>
      </c>
      <c r="Z20" s="4" t="s">
        <v>7</v>
      </c>
      <c r="AA20" s="4" t="s">
        <v>8</v>
      </c>
      <c r="AB20" s="4" t="s">
        <v>9</v>
      </c>
      <c r="AC20" s="4" t="s">
        <v>10</v>
      </c>
      <c r="AD20" s="4" t="s">
        <v>11</v>
      </c>
      <c r="AE20" s="4" t="s">
        <v>12</v>
      </c>
      <c r="AF20" s="4" t="s">
        <v>13</v>
      </c>
      <c r="AG20" s="4" t="s">
        <v>14</v>
      </c>
      <c r="AH20" s="4" t="s">
        <v>15</v>
      </c>
      <c r="AI20" s="4" t="s">
        <v>16</v>
      </c>
      <c r="AJ20" s="4" t="s">
        <v>17</v>
      </c>
      <c r="AK20" s="4" t="s">
        <v>18</v>
      </c>
      <c r="AN20" s="33" t="s">
        <v>28</v>
      </c>
      <c r="AO20" s="33" t="s">
        <v>4</v>
      </c>
    </row>
    <row r="21" spans="1:42">
      <c r="A21" s="2" t="s">
        <v>164</v>
      </c>
      <c r="B21" s="34">
        <v>0.53</v>
      </c>
      <c r="C21" s="34">
        <v>0.58333333333333337</v>
      </c>
      <c r="D21" s="34">
        <v>0</v>
      </c>
      <c r="E21" s="34"/>
      <c r="F21" s="34"/>
      <c r="G21" s="34"/>
      <c r="H21" s="34"/>
      <c r="I21" s="34"/>
      <c r="J21" s="14"/>
      <c r="K21" s="34"/>
      <c r="L21" s="34"/>
      <c r="M21" s="34"/>
      <c r="N21" s="34"/>
      <c r="O21" s="34"/>
      <c r="P21" s="34"/>
      <c r="S21" s="33">
        <f>C21*0.5</f>
        <v>0.29166666666666669</v>
      </c>
      <c r="T21" s="33">
        <f>C21-S21</f>
        <v>0.29166666666666669</v>
      </c>
      <c r="W21" s="2" t="s">
        <v>205</v>
      </c>
      <c r="X21" s="9"/>
      <c r="Y21" s="11">
        <f>Y14/Y18</f>
        <v>7.407407407407407E-2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N21" s="15">
        <f>Y21</f>
        <v>7.407407407407407E-2</v>
      </c>
      <c r="AO21" s="15">
        <v>0</v>
      </c>
    </row>
    <row r="22" spans="1:42">
      <c r="A22" s="2" t="s">
        <v>165</v>
      </c>
      <c r="B22" s="34">
        <v>0</v>
      </c>
      <c r="C22" s="34">
        <v>0.33333333333333331</v>
      </c>
      <c r="D22" s="34">
        <v>0</v>
      </c>
      <c r="E22" s="34"/>
      <c r="F22" s="34"/>
      <c r="G22" s="34"/>
      <c r="H22" s="34"/>
      <c r="I22" s="34"/>
      <c r="J22" s="14"/>
      <c r="K22" s="34"/>
      <c r="L22" s="34"/>
      <c r="M22" s="34"/>
      <c r="N22" s="34"/>
      <c r="O22" s="34"/>
      <c r="P22" s="34"/>
      <c r="S22" s="33">
        <f>C22*0.5</f>
        <v>0.16666666666666666</v>
      </c>
      <c r="T22" s="33">
        <f>C22-S22</f>
        <v>0.16666666666666666</v>
      </c>
      <c r="W22" s="2" t="s">
        <v>206</v>
      </c>
      <c r="X22" s="9"/>
      <c r="Y22" s="11">
        <f>Y15/Y18</f>
        <v>0.14814814814814814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N22" s="15">
        <f>Y22</f>
        <v>0.14814814814814814</v>
      </c>
      <c r="AO22" s="15">
        <v>0.1</v>
      </c>
    </row>
    <row r="23" spans="1:42">
      <c r="A23" s="2" t="s">
        <v>166</v>
      </c>
      <c r="B23" s="34">
        <v>0.55555555555555558</v>
      </c>
      <c r="C23" s="34">
        <v>8.3333333333333329E-2</v>
      </c>
      <c r="D23" s="34">
        <v>0</v>
      </c>
      <c r="E23" s="34"/>
      <c r="F23" s="34"/>
      <c r="G23" s="34"/>
      <c r="H23" s="34"/>
      <c r="I23" s="34"/>
      <c r="J23" s="14"/>
      <c r="K23" s="34"/>
      <c r="L23" s="34"/>
      <c r="M23" s="34"/>
      <c r="N23" s="34"/>
      <c r="O23" s="34"/>
      <c r="P23" s="34"/>
      <c r="S23" s="33">
        <f>C23*0.5</f>
        <v>4.1666666666666664E-2</v>
      </c>
      <c r="T23" s="33">
        <f>C23-S23</f>
        <v>4.1666666666666664E-2</v>
      </c>
      <c r="W23" s="2" t="s">
        <v>207</v>
      </c>
      <c r="X23" s="11"/>
      <c r="Y23" s="11">
        <f>Y16/Y18</f>
        <v>0.55555555555555558</v>
      </c>
      <c r="Z23" s="11"/>
      <c r="AA23" s="11"/>
      <c r="AB23" s="11"/>
      <c r="AC23" s="11"/>
      <c r="AD23" s="9"/>
      <c r="AE23" s="9"/>
      <c r="AF23" s="11"/>
      <c r="AG23" s="11"/>
      <c r="AH23" s="11"/>
      <c r="AI23" s="11"/>
      <c r="AJ23" s="11"/>
      <c r="AK23" s="11"/>
      <c r="AN23" s="15">
        <f>Y23</f>
        <v>0.55555555555555558</v>
      </c>
      <c r="AO23" s="15">
        <v>0.6</v>
      </c>
    </row>
    <row r="24" spans="1:42">
      <c r="A24" s="2" t="s">
        <v>167</v>
      </c>
      <c r="B24" s="34">
        <v>1.2</v>
      </c>
      <c r="C24" s="34">
        <v>1.6666666666666667</v>
      </c>
      <c r="D24" s="34">
        <v>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S24" s="33">
        <f>C24*0.5</f>
        <v>0.83333333333333337</v>
      </c>
      <c r="T24" s="33">
        <f>C24-S24</f>
        <v>0.83333333333333337</v>
      </c>
      <c r="W24" s="2" t="s">
        <v>208</v>
      </c>
      <c r="X24" s="11"/>
      <c r="Y24" s="11">
        <f>Y17/Y18</f>
        <v>0.22222222222222221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N24" s="15">
        <f>Y24</f>
        <v>0.22222222222222221</v>
      </c>
      <c r="AO24" s="15">
        <v>0.3</v>
      </c>
    </row>
    <row r="25" spans="1:42">
      <c r="A25" s="2" t="s">
        <v>43</v>
      </c>
      <c r="B25" s="34">
        <f>SUM(B21:B24)</f>
        <v>2.2855555555555558</v>
      </c>
      <c r="C25" s="34">
        <f>SUM(C21:C24)</f>
        <v>2.666666666666667</v>
      </c>
      <c r="D25" s="34">
        <f>SUM(D21:D24)</f>
        <v>0</v>
      </c>
      <c r="E25" s="34">
        <f>SUM(E21:E24)</f>
        <v>0</v>
      </c>
      <c r="F25" s="34">
        <f t="shared" ref="F25:P25" si="6">SUM(F21:F24)</f>
        <v>0</v>
      </c>
      <c r="G25" s="34">
        <f t="shared" si="6"/>
        <v>0</v>
      </c>
      <c r="H25" s="34">
        <f t="shared" si="6"/>
        <v>0</v>
      </c>
      <c r="I25" s="34">
        <f t="shared" si="6"/>
        <v>0</v>
      </c>
      <c r="J25" s="34">
        <f t="shared" si="6"/>
        <v>0</v>
      </c>
      <c r="K25" s="34">
        <f t="shared" si="6"/>
        <v>0</v>
      </c>
      <c r="L25" s="34">
        <f t="shared" si="6"/>
        <v>0</v>
      </c>
      <c r="M25" s="34">
        <f t="shared" si="6"/>
        <v>0</v>
      </c>
      <c r="N25" s="34">
        <f t="shared" si="6"/>
        <v>0</v>
      </c>
      <c r="O25" s="34">
        <f t="shared" si="6"/>
        <v>0</v>
      </c>
      <c r="P25" s="34">
        <f t="shared" si="6"/>
        <v>0</v>
      </c>
      <c r="S25" s="33">
        <f>SUM(S21:S24)</f>
        <v>1.3333333333333335</v>
      </c>
      <c r="T25" s="33">
        <f>SUM(T21:T24)</f>
        <v>1.3333333333333335</v>
      </c>
      <c r="W25" s="2" t="s">
        <v>27</v>
      </c>
      <c r="X25" s="11"/>
      <c r="Y25" s="11">
        <f t="shared" ref="Y25:AK25" si="7">SUM(Y21:Y24)</f>
        <v>1</v>
      </c>
      <c r="Z25" s="11">
        <f t="shared" si="7"/>
        <v>0</v>
      </c>
      <c r="AA25" s="11">
        <f t="shared" si="7"/>
        <v>0</v>
      </c>
      <c r="AB25" s="11">
        <f t="shared" si="7"/>
        <v>0</v>
      </c>
      <c r="AC25" s="11">
        <f t="shared" si="7"/>
        <v>0</v>
      </c>
      <c r="AD25" s="11">
        <f t="shared" si="7"/>
        <v>0</v>
      </c>
      <c r="AE25" s="11">
        <f t="shared" si="7"/>
        <v>0</v>
      </c>
      <c r="AF25" s="11">
        <f t="shared" si="7"/>
        <v>0</v>
      </c>
      <c r="AG25" s="11">
        <f t="shared" si="7"/>
        <v>0</v>
      </c>
      <c r="AH25" s="11">
        <f t="shared" si="7"/>
        <v>0</v>
      </c>
      <c r="AI25" s="11">
        <f t="shared" si="7"/>
        <v>0</v>
      </c>
      <c r="AJ25" s="11">
        <f t="shared" si="7"/>
        <v>0</v>
      </c>
      <c r="AK25" s="11">
        <f t="shared" si="7"/>
        <v>0</v>
      </c>
      <c r="AN25" s="15">
        <f>SUM(AN21:AN24)</f>
        <v>1</v>
      </c>
      <c r="AO25" s="15">
        <f>SUM(AO21:AO24)</f>
        <v>1</v>
      </c>
    </row>
    <row r="26" spans="1:42">
      <c r="A26" s="2" t="s">
        <v>30</v>
      </c>
      <c r="B26" s="34"/>
      <c r="C26" s="34">
        <v>1.9998611111111113</v>
      </c>
      <c r="D26" s="34"/>
      <c r="E26" s="34">
        <f>S25</f>
        <v>1.3333333333333335</v>
      </c>
      <c r="F26" s="34">
        <f>E26</f>
        <v>1.3333333333333335</v>
      </c>
      <c r="G26" s="34">
        <f t="shared" ref="G26:P26" si="8">F26</f>
        <v>1.3333333333333335</v>
      </c>
      <c r="H26" s="34">
        <f t="shared" si="8"/>
        <v>1.3333333333333335</v>
      </c>
      <c r="I26" s="34">
        <f t="shared" si="8"/>
        <v>1.3333333333333335</v>
      </c>
      <c r="J26" s="34">
        <f t="shared" si="8"/>
        <v>1.3333333333333335</v>
      </c>
      <c r="K26" s="34">
        <v>1</v>
      </c>
      <c r="L26" s="34">
        <f t="shared" si="8"/>
        <v>1</v>
      </c>
      <c r="M26" s="34">
        <f t="shared" si="8"/>
        <v>1</v>
      </c>
      <c r="N26" s="34">
        <f t="shared" si="8"/>
        <v>1</v>
      </c>
      <c r="O26" s="34">
        <f t="shared" si="8"/>
        <v>1</v>
      </c>
      <c r="P26" s="34">
        <f t="shared" si="8"/>
        <v>1</v>
      </c>
      <c r="W26" s="2" t="s">
        <v>216</v>
      </c>
      <c r="X26" s="11"/>
      <c r="Y26" s="11"/>
      <c r="Z26" s="11">
        <f>Y23+AO26</f>
        <v>0.56666666666666665</v>
      </c>
      <c r="AA26" s="11">
        <f>Z26</f>
        <v>0.56666666666666665</v>
      </c>
      <c r="AB26" s="11">
        <f>AA26</f>
        <v>0.56666666666666665</v>
      </c>
      <c r="AC26" s="11">
        <f>AB26+AO26</f>
        <v>0.57777777777777772</v>
      </c>
      <c r="AD26" s="11">
        <f>AC26</f>
        <v>0.57777777777777772</v>
      </c>
      <c r="AE26" s="11">
        <f>AD26</f>
        <v>0.57777777777777772</v>
      </c>
      <c r="AF26" s="11">
        <f>AE26+AO26</f>
        <v>0.5888888888888888</v>
      </c>
      <c r="AG26" s="11">
        <f>AF26</f>
        <v>0.5888888888888888</v>
      </c>
      <c r="AH26" s="11">
        <f>AG26</f>
        <v>0.5888888888888888</v>
      </c>
      <c r="AI26" s="11">
        <f>AH26+AO26</f>
        <v>0.59999999999999987</v>
      </c>
      <c r="AJ26" s="11">
        <f>AI26</f>
        <v>0.59999999999999987</v>
      </c>
      <c r="AK26" s="11">
        <f>AJ26</f>
        <v>0.59999999999999987</v>
      </c>
      <c r="AN26" s="15"/>
      <c r="AO26" s="15">
        <f>(AO23-AN23)/4</f>
        <v>1.1111111111111099E-2</v>
      </c>
    </row>
    <row r="27" spans="1:42">
      <c r="AN27" s="33"/>
      <c r="AO27" s="33"/>
    </row>
    <row r="28" spans="1:42">
      <c r="A28" s="4" t="s">
        <v>193</v>
      </c>
      <c r="B28" s="4">
        <v>2017</v>
      </c>
      <c r="C28" s="4">
        <v>2018</v>
      </c>
      <c r="D28" s="4">
        <v>2019</v>
      </c>
      <c r="E28" s="4" t="s">
        <v>7</v>
      </c>
      <c r="F28" s="4" t="s">
        <v>8</v>
      </c>
      <c r="G28" s="4" t="s">
        <v>9</v>
      </c>
      <c r="H28" s="4" t="s">
        <v>10</v>
      </c>
      <c r="I28" s="4" t="s">
        <v>11</v>
      </c>
      <c r="J28" s="4" t="s">
        <v>12</v>
      </c>
      <c r="K28" s="4" t="s">
        <v>13</v>
      </c>
      <c r="L28" s="4" t="s">
        <v>14</v>
      </c>
      <c r="M28" s="4" t="s">
        <v>15</v>
      </c>
      <c r="N28" s="4" t="s">
        <v>16</v>
      </c>
      <c r="O28" s="4" t="s">
        <v>17</v>
      </c>
      <c r="P28" s="4" t="s">
        <v>18</v>
      </c>
      <c r="S28" s="33" t="s">
        <v>48</v>
      </c>
      <c r="T28" s="33" t="s">
        <v>47</v>
      </c>
      <c r="W28" s="4" t="s">
        <v>186</v>
      </c>
      <c r="X28" s="4">
        <v>2017</v>
      </c>
      <c r="Y28" s="4">
        <v>2018</v>
      </c>
      <c r="Z28" s="4" t="s">
        <v>7</v>
      </c>
      <c r="AA28" s="4" t="s">
        <v>8</v>
      </c>
      <c r="AB28" s="4" t="s">
        <v>9</v>
      </c>
      <c r="AC28" s="4" t="s">
        <v>10</v>
      </c>
      <c r="AD28" s="4" t="s">
        <v>11</v>
      </c>
      <c r="AE28" s="4" t="s">
        <v>12</v>
      </c>
      <c r="AF28" s="4" t="s">
        <v>13</v>
      </c>
      <c r="AG28" s="4" t="s">
        <v>14</v>
      </c>
      <c r="AH28" s="4" t="s">
        <v>15</v>
      </c>
      <c r="AI28" s="4" t="s">
        <v>16</v>
      </c>
      <c r="AJ28" s="4" t="s">
        <v>17</v>
      </c>
      <c r="AK28" s="4" t="s">
        <v>18</v>
      </c>
      <c r="AN28" s="33" t="s">
        <v>28</v>
      </c>
      <c r="AO28" s="33" t="s">
        <v>4</v>
      </c>
    </row>
    <row r="29" spans="1:42">
      <c r="A29" s="2" t="s">
        <v>164</v>
      </c>
      <c r="B29" s="34">
        <v>448</v>
      </c>
      <c r="C29" s="34">
        <v>426.58333333333331</v>
      </c>
      <c r="D29" s="34">
        <v>0</v>
      </c>
      <c r="E29" s="34"/>
      <c r="F29" s="34"/>
      <c r="G29" s="34"/>
      <c r="H29" s="34"/>
      <c r="I29" s="34"/>
      <c r="J29" s="14"/>
      <c r="K29" s="34"/>
      <c r="L29" s="34"/>
      <c r="M29" s="34"/>
      <c r="N29" s="34"/>
      <c r="O29" s="34"/>
      <c r="P29" s="34"/>
      <c r="S29" s="33">
        <f>C29*0.3</f>
        <v>127.97499999999999</v>
      </c>
      <c r="T29" s="33">
        <f>C29-S29</f>
        <v>298.60833333333335</v>
      </c>
      <c r="W29" s="2" t="s">
        <v>164</v>
      </c>
      <c r="X29" s="11">
        <v>0.312</v>
      </c>
      <c r="Y29" s="11">
        <v>0.97349999999999992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N29" s="15">
        <f>Y29</f>
        <v>0.97349999999999992</v>
      </c>
      <c r="AO29" s="15">
        <v>1</v>
      </c>
    </row>
    <row r="30" spans="1:42">
      <c r="A30" s="2" t="s">
        <v>165</v>
      </c>
      <c r="B30" s="34">
        <v>234</v>
      </c>
      <c r="C30" s="34">
        <v>179.91666666666666</v>
      </c>
      <c r="D30" s="34">
        <v>0</v>
      </c>
      <c r="E30" s="34"/>
      <c r="F30" s="34"/>
      <c r="G30" s="34"/>
      <c r="H30" s="34"/>
      <c r="I30" s="34"/>
      <c r="J30" s="14"/>
      <c r="K30" s="34"/>
      <c r="L30" s="34"/>
      <c r="M30" s="34"/>
      <c r="N30" s="34"/>
      <c r="O30" s="34"/>
      <c r="P30" s="34"/>
      <c r="S30" s="33">
        <f>C30*0.3</f>
        <v>53.974999999999994</v>
      </c>
      <c r="T30" s="33">
        <f>C30-S30</f>
        <v>125.94166666666666</v>
      </c>
      <c r="W30" s="2" t="s">
        <v>185</v>
      </c>
      <c r="X30" s="11">
        <v>0.52800000000000002</v>
      </c>
      <c r="Y30" s="11">
        <v>0.95916666666666661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N30" s="15">
        <f>Y30</f>
        <v>0.95916666666666661</v>
      </c>
      <c r="AO30" s="15">
        <v>0.98</v>
      </c>
    </row>
    <row r="31" spans="1:42">
      <c r="A31" s="2" t="s">
        <v>166</v>
      </c>
      <c r="B31" s="34">
        <v>270</v>
      </c>
      <c r="C31" s="34">
        <v>256.33333333333331</v>
      </c>
      <c r="D31" s="34">
        <v>0</v>
      </c>
      <c r="E31" s="34"/>
      <c r="F31" s="34"/>
      <c r="G31" s="34"/>
      <c r="H31" s="34"/>
      <c r="I31" s="34"/>
      <c r="J31" s="14"/>
      <c r="K31" s="34"/>
      <c r="L31" s="34"/>
      <c r="M31" s="34"/>
      <c r="N31" s="34"/>
      <c r="O31" s="34"/>
      <c r="P31" s="34"/>
      <c r="S31" s="33">
        <f>C31*0.3</f>
        <v>76.899999999999991</v>
      </c>
      <c r="T31" s="33">
        <f>C31-S31</f>
        <v>179.43333333333334</v>
      </c>
      <c r="W31" s="2" t="s">
        <v>166</v>
      </c>
      <c r="X31" s="11">
        <v>0.81599999999999995</v>
      </c>
      <c r="Y31" s="11">
        <v>0.94083333333333341</v>
      </c>
      <c r="Z31" s="11"/>
      <c r="AA31" s="11"/>
      <c r="AB31" s="11"/>
      <c r="AC31" s="11"/>
      <c r="AD31" s="9"/>
      <c r="AE31" s="9"/>
      <c r="AF31" s="11"/>
      <c r="AG31" s="11"/>
      <c r="AH31" s="11"/>
      <c r="AI31" s="11"/>
      <c r="AJ31" s="11"/>
      <c r="AK31" s="11"/>
      <c r="AL31" s="5"/>
      <c r="AM31" s="5"/>
      <c r="AN31" s="15">
        <f>Y31</f>
        <v>0.94083333333333341</v>
      </c>
      <c r="AO31" s="15">
        <v>0.96</v>
      </c>
      <c r="AP31" s="5"/>
    </row>
    <row r="32" spans="1:42">
      <c r="A32" s="2" t="s">
        <v>167</v>
      </c>
      <c r="B32" s="34">
        <v>157.6</v>
      </c>
      <c r="C32" s="34">
        <v>264.58333333333331</v>
      </c>
      <c r="D32" s="34">
        <v>0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S32" s="33">
        <f>C32*0.3</f>
        <v>79.374999999999986</v>
      </c>
      <c r="T32" s="33">
        <f>C32-S32</f>
        <v>185.20833333333331</v>
      </c>
      <c r="W32" s="2" t="s">
        <v>167</v>
      </c>
      <c r="X32" s="11">
        <v>0</v>
      </c>
      <c r="Y32" s="11">
        <v>0.92249999999999999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N32" s="15">
        <f>Y32</f>
        <v>0.92249999999999999</v>
      </c>
      <c r="AO32" s="15">
        <v>0.95</v>
      </c>
    </row>
    <row r="33" spans="1:42">
      <c r="A33" s="2" t="s">
        <v>194</v>
      </c>
      <c r="B33" s="34">
        <f>SUM(B29:B32)</f>
        <v>1109.5999999999999</v>
      </c>
      <c r="C33" s="34">
        <f>SUM(C29:C32)</f>
        <v>1127.4166666666665</v>
      </c>
      <c r="D33" s="34">
        <f>SUM(D29:D32)</f>
        <v>0</v>
      </c>
      <c r="E33" s="34">
        <f>SUM(E29:E32)</f>
        <v>0</v>
      </c>
      <c r="F33" s="34">
        <f t="shared" ref="F33:P33" si="9">SUM(F29:F32)</f>
        <v>0</v>
      </c>
      <c r="G33" s="34">
        <f t="shared" si="9"/>
        <v>0</v>
      </c>
      <c r="H33" s="34">
        <f t="shared" si="9"/>
        <v>0</v>
      </c>
      <c r="I33" s="34">
        <f t="shared" si="9"/>
        <v>0</v>
      </c>
      <c r="J33" s="34">
        <f t="shared" si="9"/>
        <v>0</v>
      </c>
      <c r="K33" s="34">
        <f t="shared" si="9"/>
        <v>0</v>
      </c>
      <c r="L33" s="34">
        <f t="shared" si="9"/>
        <v>0</v>
      </c>
      <c r="M33" s="34">
        <f t="shared" si="9"/>
        <v>0</v>
      </c>
      <c r="N33" s="34">
        <f t="shared" si="9"/>
        <v>0</v>
      </c>
      <c r="O33" s="34">
        <f t="shared" si="9"/>
        <v>0</v>
      </c>
      <c r="P33" s="34">
        <f t="shared" si="9"/>
        <v>0</v>
      </c>
      <c r="S33" s="33">
        <f>SUM(S29:S32)</f>
        <v>338.22499999999997</v>
      </c>
      <c r="T33" s="33">
        <f>SUM(T29:T32)</f>
        <v>789.19166666666661</v>
      </c>
      <c r="W33" s="2" t="s">
        <v>196</v>
      </c>
      <c r="X33" s="11">
        <v>0.5</v>
      </c>
      <c r="Y33" s="11">
        <f>AVERAGE(Y29:Y32)</f>
        <v>0.94899999999999995</v>
      </c>
      <c r="Z33" s="11" t="e">
        <f>AVERAGE(Z29:Z32)</f>
        <v>#DIV/0!</v>
      </c>
      <c r="AA33" s="11" t="e">
        <f t="shared" ref="AA33:AK33" si="10">AVERAGE(AA29:AA32)</f>
        <v>#DIV/0!</v>
      </c>
      <c r="AB33" s="11" t="e">
        <f t="shared" si="10"/>
        <v>#DIV/0!</v>
      </c>
      <c r="AC33" s="11" t="e">
        <f t="shared" si="10"/>
        <v>#DIV/0!</v>
      </c>
      <c r="AD33" s="11" t="e">
        <f t="shared" si="10"/>
        <v>#DIV/0!</v>
      </c>
      <c r="AE33" s="11" t="e">
        <f t="shared" si="10"/>
        <v>#DIV/0!</v>
      </c>
      <c r="AF33" s="11" t="e">
        <f t="shared" si="10"/>
        <v>#DIV/0!</v>
      </c>
      <c r="AG33" s="11" t="e">
        <f t="shared" si="10"/>
        <v>#DIV/0!</v>
      </c>
      <c r="AH33" s="11" t="e">
        <f t="shared" si="10"/>
        <v>#DIV/0!</v>
      </c>
      <c r="AI33" s="11" t="e">
        <f t="shared" si="10"/>
        <v>#DIV/0!</v>
      </c>
      <c r="AJ33" s="11" t="e">
        <f t="shared" si="10"/>
        <v>#DIV/0!</v>
      </c>
      <c r="AK33" s="11" t="e">
        <f t="shared" si="10"/>
        <v>#DIV/0!</v>
      </c>
      <c r="AL33" s="6"/>
      <c r="AM33" s="6"/>
      <c r="AN33" s="15">
        <f>AVERAGE(AN29:AN32)</f>
        <v>0.94899999999999995</v>
      </c>
      <c r="AO33" s="15">
        <f>AVERAGE(AO29:AO32)</f>
        <v>0.97249999999999992</v>
      </c>
      <c r="AP33" s="6"/>
    </row>
    <row r="34" spans="1:42">
      <c r="A34" s="2" t="s">
        <v>30</v>
      </c>
      <c r="B34" s="34"/>
      <c r="C34" s="34">
        <v>1023.475</v>
      </c>
      <c r="D34" s="34"/>
      <c r="E34" s="34">
        <f>C33-S34</f>
        <v>1042.8604166666664</v>
      </c>
      <c r="F34" s="34">
        <f>E34</f>
        <v>1042.8604166666664</v>
      </c>
      <c r="G34" s="34">
        <f>F34</f>
        <v>1042.8604166666664</v>
      </c>
      <c r="H34" s="34">
        <f>G34-S34</f>
        <v>958.30416666666645</v>
      </c>
      <c r="I34" s="34">
        <f>H34</f>
        <v>958.30416666666645</v>
      </c>
      <c r="J34" s="34">
        <f>I34</f>
        <v>958.30416666666645</v>
      </c>
      <c r="K34" s="34">
        <f>J34-S34</f>
        <v>873.74791666666647</v>
      </c>
      <c r="L34" s="34">
        <f>K34</f>
        <v>873.74791666666647</v>
      </c>
      <c r="M34" s="34">
        <f>L34</f>
        <v>873.74791666666647</v>
      </c>
      <c r="N34" s="34">
        <f>M34-S34</f>
        <v>789.19166666666649</v>
      </c>
      <c r="O34" s="34">
        <f>N34</f>
        <v>789.19166666666649</v>
      </c>
      <c r="P34" s="34">
        <f>O34</f>
        <v>789.19166666666649</v>
      </c>
      <c r="S34" s="33">
        <f>S33/4</f>
        <v>84.556249999999991</v>
      </c>
      <c r="W34" s="2" t="s">
        <v>30</v>
      </c>
      <c r="X34" s="11"/>
      <c r="Y34" s="11">
        <v>0.78062500000000001</v>
      </c>
      <c r="Z34" s="11">
        <f>Y33+AO34</f>
        <v>0.96174999999999999</v>
      </c>
      <c r="AA34" s="11">
        <f>Z34</f>
        <v>0.96174999999999999</v>
      </c>
      <c r="AB34" s="11">
        <f t="shared" ref="AB34:AK34" si="11">AA34</f>
        <v>0.96174999999999999</v>
      </c>
      <c r="AC34" s="11">
        <f>AB34+AO34</f>
        <v>0.97450000000000003</v>
      </c>
      <c r="AD34" s="11">
        <f t="shared" si="11"/>
        <v>0.97450000000000003</v>
      </c>
      <c r="AE34" s="11">
        <f t="shared" si="11"/>
        <v>0.97450000000000003</v>
      </c>
      <c r="AF34" s="11">
        <f>AE34+AO34</f>
        <v>0.98725000000000007</v>
      </c>
      <c r="AG34" s="11">
        <f t="shared" si="11"/>
        <v>0.98725000000000007</v>
      </c>
      <c r="AH34" s="11">
        <f t="shared" si="11"/>
        <v>0.98725000000000007</v>
      </c>
      <c r="AI34" s="11">
        <f>AH34+AO34</f>
        <v>1</v>
      </c>
      <c r="AJ34" s="11">
        <f t="shared" si="11"/>
        <v>1</v>
      </c>
      <c r="AK34" s="11">
        <f t="shared" si="11"/>
        <v>1</v>
      </c>
      <c r="AM34" s="37"/>
      <c r="AN34" s="15"/>
      <c r="AO34" s="15">
        <f>(1-Y33)/4</f>
        <v>1.2750000000000011E-2</v>
      </c>
    </row>
    <row r="35" spans="1:42">
      <c r="AN35" s="33"/>
      <c r="AO35" s="33"/>
    </row>
    <row r="36" spans="1:42" ht="23.25">
      <c r="A36" s="44" t="s">
        <v>213</v>
      </c>
      <c r="W36" s="4" t="s">
        <v>19</v>
      </c>
      <c r="X36" s="4">
        <v>2017</v>
      </c>
      <c r="Y36" s="4" t="s">
        <v>7</v>
      </c>
      <c r="Z36" s="4" t="s">
        <v>7</v>
      </c>
      <c r="AA36" s="4" t="s">
        <v>8</v>
      </c>
      <c r="AB36" s="4" t="s">
        <v>9</v>
      </c>
      <c r="AC36" s="4" t="s">
        <v>10</v>
      </c>
      <c r="AD36" s="4" t="s">
        <v>11</v>
      </c>
      <c r="AE36" s="4" t="s">
        <v>12</v>
      </c>
      <c r="AF36" s="4" t="s">
        <v>13</v>
      </c>
      <c r="AG36" s="4" t="s">
        <v>14</v>
      </c>
      <c r="AH36" s="4" t="s">
        <v>15</v>
      </c>
      <c r="AI36" s="4" t="s">
        <v>16</v>
      </c>
      <c r="AJ36" s="4" t="s">
        <v>17</v>
      </c>
      <c r="AK36" s="4" t="s">
        <v>18</v>
      </c>
      <c r="AN36" s="33"/>
      <c r="AO36" s="33"/>
    </row>
    <row r="37" spans="1:42">
      <c r="A37" s="4" t="s">
        <v>46</v>
      </c>
      <c r="B37" s="4">
        <v>2017</v>
      </c>
      <c r="C37" s="4">
        <v>2018</v>
      </c>
      <c r="D37" s="4">
        <v>2019</v>
      </c>
      <c r="E37" s="4" t="s">
        <v>7</v>
      </c>
      <c r="F37" s="4" t="s">
        <v>8</v>
      </c>
      <c r="G37" s="4" t="s">
        <v>9</v>
      </c>
      <c r="H37" s="4" t="s">
        <v>10</v>
      </c>
      <c r="I37" s="4" t="s">
        <v>11</v>
      </c>
      <c r="J37" s="4" t="s">
        <v>12</v>
      </c>
      <c r="K37" s="4" t="s">
        <v>13</v>
      </c>
      <c r="L37" s="4" t="s">
        <v>14</v>
      </c>
      <c r="M37" s="4" t="s">
        <v>15</v>
      </c>
      <c r="N37" s="4" t="s">
        <v>16</v>
      </c>
      <c r="O37" s="4" t="s">
        <v>17</v>
      </c>
      <c r="P37" s="4" t="s">
        <v>18</v>
      </c>
      <c r="S37" s="33" t="s">
        <v>48</v>
      </c>
      <c r="T37" s="33" t="s">
        <v>47</v>
      </c>
      <c r="W37" s="2" t="s">
        <v>164</v>
      </c>
      <c r="X37" s="10">
        <v>16.059999999999999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N37" s="33">
        <f>X37*0.5</f>
        <v>8.0299999999999994</v>
      </c>
      <c r="AO37" s="33">
        <f>X37-AN37</f>
        <v>8.0299999999999994</v>
      </c>
    </row>
    <row r="38" spans="1:42">
      <c r="A38" s="2" t="s">
        <v>164</v>
      </c>
      <c r="B38" s="7">
        <v>20.131163116731866</v>
      </c>
      <c r="C38" s="7">
        <v>12.051680204334987</v>
      </c>
      <c r="D38" s="7"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S38" s="33">
        <f>C38*0.11</f>
        <v>1.3256848224768487</v>
      </c>
      <c r="T38" s="33">
        <f>C38-S38</f>
        <v>10.725995381858139</v>
      </c>
      <c r="W38" s="2" t="s">
        <v>185</v>
      </c>
      <c r="X38" s="10">
        <f>8+7</f>
        <v>15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N38" s="33">
        <f>X38*0.5</f>
        <v>7.5</v>
      </c>
      <c r="AO38" s="33">
        <f>X38-AN38</f>
        <v>7.5</v>
      </c>
    </row>
    <row r="39" spans="1:42">
      <c r="A39" s="2" t="s">
        <v>185</v>
      </c>
      <c r="B39" s="7">
        <v>8.8143337859064133</v>
      </c>
      <c r="C39" s="7">
        <v>5.6038496387718064</v>
      </c>
      <c r="D39" s="7"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S39" s="33">
        <f>C39*0.11</f>
        <v>0.61642346026489869</v>
      </c>
      <c r="T39" s="33">
        <f>C39-S39</f>
        <v>4.9874261785069081</v>
      </c>
      <c r="W39" s="2" t="s">
        <v>166</v>
      </c>
      <c r="X39" s="10">
        <v>14.00079365079365</v>
      </c>
      <c r="Y39" s="10"/>
      <c r="Z39" s="10"/>
      <c r="AA39" s="10"/>
      <c r="AB39" s="10"/>
      <c r="AC39" s="10"/>
      <c r="AD39" s="8"/>
      <c r="AE39" s="8"/>
      <c r="AF39" s="10"/>
      <c r="AG39" s="10"/>
      <c r="AH39" s="10"/>
      <c r="AI39" s="10"/>
      <c r="AJ39" s="10"/>
      <c r="AK39" s="10"/>
      <c r="AL39" s="5"/>
      <c r="AM39" s="5"/>
      <c r="AN39" s="33">
        <f>X39*0.5</f>
        <v>7.000396825396825</v>
      </c>
      <c r="AO39" s="33">
        <f>X39-AN39</f>
        <v>7.000396825396825</v>
      </c>
      <c r="AP39" s="5"/>
    </row>
    <row r="40" spans="1:42">
      <c r="A40" s="2" t="s">
        <v>166</v>
      </c>
      <c r="B40" s="7">
        <v>20.283457223442646</v>
      </c>
      <c r="C40" s="7">
        <v>30.067344585445923</v>
      </c>
      <c r="D40" s="7">
        <v>0</v>
      </c>
      <c r="E40" s="7"/>
      <c r="F40" s="7"/>
      <c r="G40" s="7"/>
      <c r="H40" s="7"/>
      <c r="I40" s="32"/>
      <c r="J40" s="32"/>
      <c r="K40" s="7"/>
      <c r="L40" s="7"/>
      <c r="M40" s="7"/>
      <c r="N40" s="7"/>
      <c r="O40" s="7"/>
      <c r="P40" s="7"/>
      <c r="Q40" s="5"/>
      <c r="R40" s="5"/>
      <c r="S40" s="33">
        <f>C40*0.11</f>
        <v>3.3074079043990516</v>
      </c>
      <c r="T40" s="33">
        <f>C40-S40</f>
        <v>26.75993668104687</v>
      </c>
      <c r="U40" s="5"/>
      <c r="V40" s="5"/>
      <c r="W40" s="2" t="s">
        <v>167</v>
      </c>
      <c r="X40" s="10">
        <v>15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N40" s="33">
        <f>X40*0.5</f>
        <v>7.5</v>
      </c>
      <c r="AO40" s="33">
        <f>X40-AN40</f>
        <v>7.5</v>
      </c>
    </row>
    <row r="41" spans="1:42">
      <c r="A41" s="2" t="s">
        <v>167</v>
      </c>
      <c r="B41" s="7">
        <v>49.2972052236452</v>
      </c>
      <c r="C41" s="7">
        <v>20.927195515861563</v>
      </c>
      <c r="D41" s="7"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S41" s="33">
        <f>C41*0.11</f>
        <v>2.301991506744772</v>
      </c>
      <c r="T41" s="33">
        <f>C41-S41</f>
        <v>18.625204009116789</v>
      </c>
      <c r="W41" s="2" t="s">
        <v>33</v>
      </c>
      <c r="X41" s="10">
        <f>SUM(X37:X40)</f>
        <v>60.060793650793649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6"/>
      <c r="AM41" s="6"/>
      <c r="AN41" s="33">
        <f>SUM(AN37:AN40)</f>
        <v>30.030396825396824</v>
      </c>
      <c r="AO41" s="33">
        <f>SUM(AO37:AO40)</f>
        <v>30.030396825396824</v>
      </c>
      <c r="AP41" s="6"/>
    </row>
    <row r="42" spans="1:42">
      <c r="A42" s="2" t="s">
        <v>56</v>
      </c>
      <c r="B42" s="7">
        <f>AVERAGE(B38:B41)</f>
        <v>24.631539837431532</v>
      </c>
      <c r="C42" s="7">
        <f>AVERAGE(C38:C41)</f>
        <v>17.162517486103567</v>
      </c>
      <c r="D42" s="7">
        <f>AVERAGE(D38:D41)</f>
        <v>0</v>
      </c>
      <c r="E42" s="7" t="e">
        <f t="shared" ref="E42:P42" si="12">AVERAGE(E38:E41)</f>
        <v>#DIV/0!</v>
      </c>
      <c r="F42" s="7" t="e">
        <f t="shared" si="12"/>
        <v>#DIV/0!</v>
      </c>
      <c r="G42" s="7" t="e">
        <f t="shared" si="12"/>
        <v>#DIV/0!</v>
      </c>
      <c r="H42" s="7" t="e">
        <f t="shared" si="12"/>
        <v>#DIV/0!</v>
      </c>
      <c r="I42" s="7" t="e">
        <f t="shared" si="12"/>
        <v>#DIV/0!</v>
      </c>
      <c r="J42" s="7" t="e">
        <f t="shared" si="12"/>
        <v>#DIV/0!</v>
      </c>
      <c r="K42" s="7" t="e">
        <f t="shared" si="12"/>
        <v>#DIV/0!</v>
      </c>
      <c r="L42" s="7" t="e">
        <f t="shared" si="12"/>
        <v>#DIV/0!</v>
      </c>
      <c r="M42" s="7" t="e">
        <f t="shared" si="12"/>
        <v>#DIV/0!</v>
      </c>
      <c r="N42" s="7" t="e">
        <f t="shared" si="12"/>
        <v>#DIV/0!</v>
      </c>
      <c r="O42" s="7" t="e">
        <f t="shared" si="12"/>
        <v>#DIV/0!</v>
      </c>
      <c r="P42" s="7" t="e">
        <f t="shared" si="12"/>
        <v>#DIV/0!</v>
      </c>
      <c r="Q42" s="6"/>
      <c r="R42" s="6"/>
      <c r="S42" s="33">
        <f>AVERAGE(S38:S41)</f>
        <v>1.8878769234713926</v>
      </c>
      <c r="T42" s="33">
        <f>AVERAGE(T38:T41)</f>
        <v>15.274640562632175</v>
      </c>
      <c r="U42" s="6"/>
      <c r="V42" s="6"/>
      <c r="W42" s="2" t="s">
        <v>30</v>
      </c>
      <c r="X42" s="10"/>
      <c r="Y42" s="10">
        <v>39.428194444444443</v>
      </c>
      <c r="Z42" s="10">
        <v>39.428194444444443</v>
      </c>
      <c r="AA42" s="10">
        <v>39.428194444444443</v>
      </c>
      <c r="AB42" s="10">
        <v>39.428194444444443</v>
      </c>
      <c r="AC42" s="10">
        <v>33.795595238095238</v>
      </c>
      <c r="AD42" s="10">
        <v>33.795595238095238</v>
      </c>
      <c r="AE42" s="10">
        <v>33.795595238095238</v>
      </c>
      <c r="AF42" s="10">
        <v>28.162996031746033</v>
      </c>
      <c r="AG42" s="10">
        <v>28.162996031746033</v>
      </c>
      <c r="AH42" s="10">
        <v>28.162996031746033</v>
      </c>
      <c r="AI42" s="10">
        <v>22.530396825396824</v>
      </c>
      <c r="AJ42" s="10">
        <v>22.530396825396824</v>
      </c>
      <c r="AK42" s="10">
        <v>22.530396825396824</v>
      </c>
      <c r="AN42" s="33"/>
      <c r="AO42" s="33">
        <f>AO41/4</f>
        <v>7.5075992063492061</v>
      </c>
    </row>
    <row r="43" spans="1:42">
      <c r="A43" s="2" t="s">
        <v>30</v>
      </c>
      <c r="B43" s="7"/>
      <c r="C43" s="7"/>
      <c r="D43" s="7"/>
      <c r="E43" s="7">
        <f>C42-S43</f>
        <v>16.690548255235718</v>
      </c>
      <c r="F43" s="7">
        <f>E43</f>
        <v>16.690548255235718</v>
      </c>
      <c r="G43" s="7">
        <f>F43</f>
        <v>16.690548255235718</v>
      </c>
      <c r="H43" s="7">
        <f>G43-S43</f>
        <v>16.21857902436787</v>
      </c>
      <c r="I43" s="7">
        <f>H43</f>
        <v>16.21857902436787</v>
      </c>
      <c r="J43" s="7">
        <f>I43</f>
        <v>16.21857902436787</v>
      </c>
      <c r="K43" s="7">
        <f>J43-S43</f>
        <v>15.746609793500021</v>
      </c>
      <c r="L43" s="7">
        <f>K43</f>
        <v>15.746609793500021</v>
      </c>
      <c r="M43" s="7">
        <f>L43</f>
        <v>15.746609793500021</v>
      </c>
      <c r="N43" s="7">
        <f>M43-S43</f>
        <v>15.274640562632172</v>
      </c>
      <c r="O43" s="7">
        <f>N43</f>
        <v>15.274640562632172</v>
      </c>
      <c r="P43" s="7">
        <f>O43</f>
        <v>15.274640562632172</v>
      </c>
      <c r="S43" s="45">
        <f>S42/4</f>
        <v>0.47196923086784814</v>
      </c>
      <c r="T43" s="15"/>
      <c r="AN43" s="33"/>
      <c r="AO43" s="33"/>
    </row>
    <row r="44" spans="1:42">
      <c r="W44" s="4" t="s">
        <v>168</v>
      </c>
      <c r="X44" s="4">
        <v>2017</v>
      </c>
      <c r="Y44" s="4" t="s">
        <v>7</v>
      </c>
      <c r="Z44" s="4" t="s">
        <v>7</v>
      </c>
      <c r="AA44" s="4" t="s">
        <v>8</v>
      </c>
      <c r="AB44" s="4" t="s">
        <v>9</v>
      </c>
      <c r="AC44" s="4" t="s">
        <v>10</v>
      </c>
      <c r="AD44" s="4" t="s">
        <v>11</v>
      </c>
      <c r="AE44" s="4" t="s">
        <v>12</v>
      </c>
      <c r="AF44" s="4" t="s">
        <v>13</v>
      </c>
      <c r="AG44" s="4" t="s">
        <v>14</v>
      </c>
      <c r="AH44" s="4" t="s">
        <v>15</v>
      </c>
      <c r="AI44" s="4" t="s">
        <v>16</v>
      </c>
      <c r="AJ44" s="4" t="s">
        <v>17</v>
      </c>
      <c r="AK44" s="4" t="s">
        <v>18</v>
      </c>
      <c r="AN44" s="33"/>
      <c r="AO44" s="33"/>
    </row>
    <row r="45" spans="1:42">
      <c r="A45" s="4" t="s">
        <v>192</v>
      </c>
      <c r="B45" s="4">
        <v>2017</v>
      </c>
      <c r="C45" s="4">
        <v>2018</v>
      </c>
      <c r="D45" s="4">
        <v>2019</v>
      </c>
      <c r="E45" s="4" t="s">
        <v>7</v>
      </c>
      <c r="F45" s="4" t="s">
        <v>8</v>
      </c>
      <c r="G45" s="4" t="s">
        <v>9</v>
      </c>
      <c r="H45" s="4" t="s">
        <v>10</v>
      </c>
      <c r="I45" s="4" t="s">
        <v>11</v>
      </c>
      <c r="J45" s="4" t="s">
        <v>12</v>
      </c>
      <c r="K45" s="4" t="s">
        <v>13</v>
      </c>
      <c r="L45" s="4" t="s">
        <v>14</v>
      </c>
      <c r="M45" s="4" t="s">
        <v>15</v>
      </c>
      <c r="N45" s="4" t="s">
        <v>16</v>
      </c>
      <c r="O45" s="4" t="s">
        <v>17</v>
      </c>
      <c r="P45" s="4" t="s">
        <v>18</v>
      </c>
      <c r="S45" s="33" t="s">
        <v>48</v>
      </c>
      <c r="T45" s="33" t="s">
        <v>47</v>
      </c>
      <c r="W45" s="2" t="s">
        <v>164</v>
      </c>
      <c r="X45" s="10">
        <v>33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N45" s="33"/>
      <c r="AO45" s="33"/>
    </row>
    <row r="46" spans="1:42">
      <c r="A46" s="2" t="s">
        <v>164</v>
      </c>
      <c r="B46" s="10">
        <v>1758.3705812178405</v>
      </c>
      <c r="C46" s="10">
        <v>994.62292765986194</v>
      </c>
      <c r="D46" s="10">
        <v>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S46" s="33">
        <f>C46*0.11</f>
        <v>109.40852204258482</v>
      </c>
      <c r="T46" s="33">
        <f>C46-S46</f>
        <v>885.21440561727718</v>
      </c>
      <c r="W46" s="2" t="s">
        <v>165</v>
      </c>
      <c r="X46" s="10">
        <f>9.88+7.9</f>
        <v>17.78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N46" s="33"/>
      <c r="AO46" s="33"/>
    </row>
    <row r="47" spans="1:42">
      <c r="A47" s="2" t="s">
        <v>185</v>
      </c>
      <c r="B47" s="10">
        <v>1432.3776499999999</v>
      </c>
      <c r="C47" s="10">
        <v>767.74609465036804</v>
      </c>
      <c r="D47" s="10">
        <v>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S47" s="33">
        <f>C47*0.11</f>
        <v>84.45207041154049</v>
      </c>
      <c r="T47" s="33">
        <f>C47-S47</f>
        <v>683.29402423882755</v>
      </c>
      <c r="W47" s="2" t="s">
        <v>166</v>
      </c>
      <c r="X47" s="10">
        <v>30.142248677248681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N47" s="33"/>
      <c r="AO47" s="33"/>
    </row>
    <row r="48" spans="1:42">
      <c r="A48" s="2" t="s">
        <v>166</v>
      </c>
      <c r="B48" s="10">
        <v>1202.8293396726997</v>
      </c>
      <c r="C48" s="10">
        <v>1347.2857148802304</v>
      </c>
      <c r="D48" s="10">
        <v>0</v>
      </c>
      <c r="E48" s="10"/>
      <c r="F48" s="10"/>
      <c r="G48" s="10"/>
      <c r="H48" s="10"/>
      <c r="I48" s="8"/>
      <c r="J48" s="8"/>
      <c r="K48" s="10"/>
      <c r="L48" s="10"/>
      <c r="M48" s="10"/>
      <c r="N48" s="10"/>
      <c r="O48" s="10"/>
      <c r="P48" s="10"/>
      <c r="Q48" s="5"/>
      <c r="R48" s="5"/>
      <c r="S48" s="33">
        <f>C48*0.11</f>
        <v>148.20142863682534</v>
      </c>
      <c r="T48" s="33">
        <f>C48-S48</f>
        <v>1199.0842862434051</v>
      </c>
      <c r="U48" s="5"/>
      <c r="V48" s="5"/>
      <c r="W48" s="2" t="s">
        <v>167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N48" s="33"/>
      <c r="AO48" s="33"/>
    </row>
    <row r="49" spans="1:42">
      <c r="A49" s="2" t="s">
        <v>167</v>
      </c>
      <c r="B49" s="10">
        <v>781.41000000000008</v>
      </c>
      <c r="C49" s="10">
        <v>237.71656587467061</v>
      </c>
      <c r="D49" s="10">
        <v>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S49" s="33">
        <f>C49*0.11</f>
        <v>26.148822246213768</v>
      </c>
      <c r="T49" s="33">
        <f>C49-S49</f>
        <v>211.56774362845684</v>
      </c>
      <c r="W49" s="2" t="s">
        <v>32</v>
      </c>
      <c r="X49" s="10">
        <f>SUM(X45:X48)</f>
        <v>80.922248677248689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N49" s="33"/>
      <c r="AO49" s="33"/>
    </row>
    <row r="50" spans="1:42">
      <c r="A50" s="2" t="s">
        <v>56</v>
      </c>
      <c r="B50" s="10">
        <f>AVERAGE(B46:B49)</f>
        <v>1293.746892722635</v>
      </c>
      <c r="C50" s="10">
        <f>AVERAGE(C46:C49)</f>
        <v>836.84282576628277</v>
      </c>
      <c r="D50" s="10">
        <f>AVERAGE(D46:D49)</f>
        <v>0</v>
      </c>
      <c r="E50" s="10" t="e">
        <f t="shared" ref="E50:P50" si="13">AVERAGE(E46:E49)</f>
        <v>#DIV/0!</v>
      </c>
      <c r="F50" s="10" t="e">
        <f t="shared" si="13"/>
        <v>#DIV/0!</v>
      </c>
      <c r="G50" s="10" t="e">
        <f t="shared" si="13"/>
        <v>#DIV/0!</v>
      </c>
      <c r="H50" s="10" t="e">
        <f t="shared" si="13"/>
        <v>#DIV/0!</v>
      </c>
      <c r="I50" s="10" t="e">
        <f t="shared" si="13"/>
        <v>#DIV/0!</v>
      </c>
      <c r="J50" s="10" t="e">
        <f t="shared" si="13"/>
        <v>#DIV/0!</v>
      </c>
      <c r="K50" s="10" t="e">
        <f t="shared" si="13"/>
        <v>#DIV/0!</v>
      </c>
      <c r="L50" s="10" t="e">
        <f t="shared" si="13"/>
        <v>#DIV/0!</v>
      </c>
      <c r="M50" s="10" t="e">
        <f t="shared" si="13"/>
        <v>#DIV/0!</v>
      </c>
      <c r="N50" s="10" t="e">
        <f t="shared" si="13"/>
        <v>#DIV/0!</v>
      </c>
      <c r="O50" s="10" t="e">
        <f t="shared" si="13"/>
        <v>#DIV/0!</v>
      </c>
      <c r="P50" s="10" t="e">
        <f t="shared" si="13"/>
        <v>#DIV/0!</v>
      </c>
      <c r="Q50" s="6"/>
      <c r="R50" s="6"/>
      <c r="S50" s="33">
        <f>AVERAGE(S46:S49)</f>
        <v>92.052710834291105</v>
      </c>
      <c r="T50" s="33">
        <f>AVERAGE(T46:T49)</f>
        <v>744.79011493199164</v>
      </c>
      <c r="U50" s="6"/>
      <c r="V50" s="6"/>
      <c r="W50" s="2" t="s">
        <v>30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N50" s="33"/>
      <c r="AO50" s="33"/>
    </row>
    <row r="51" spans="1:42">
      <c r="A51" s="2" t="s">
        <v>30</v>
      </c>
      <c r="B51" s="10"/>
      <c r="C51" s="10"/>
      <c r="D51" s="10"/>
      <c r="E51" s="10">
        <f>C50-S51</f>
        <v>813.82964805770996</v>
      </c>
      <c r="F51" s="10">
        <f>E51</f>
        <v>813.82964805770996</v>
      </c>
      <c r="G51" s="10">
        <f>F51</f>
        <v>813.82964805770996</v>
      </c>
      <c r="H51" s="10">
        <f>G51-S51</f>
        <v>790.81647034913715</v>
      </c>
      <c r="I51" s="10">
        <f>H51</f>
        <v>790.81647034913715</v>
      </c>
      <c r="J51" s="10">
        <f>I51</f>
        <v>790.81647034913715</v>
      </c>
      <c r="K51" s="10">
        <f>J51-S51</f>
        <v>767.80329264056434</v>
      </c>
      <c r="L51" s="10">
        <f>K51</f>
        <v>767.80329264056434</v>
      </c>
      <c r="M51" s="10">
        <f>L51</f>
        <v>767.80329264056434</v>
      </c>
      <c r="N51" s="10">
        <f>M51-S51</f>
        <v>744.79011493199152</v>
      </c>
      <c r="O51" s="10">
        <f>N51</f>
        <v>744.79011493199152</v>
      </c>
      <c r="P51" s="10">
        <f>O51</f>
        <v>744.79011493199152</v>
      </c>
      <c r="S51" s="38">
        <f>S50/4</f>
        <v>23.013177708572776</v>
      </c>
      <c r="T51" s="15"/>
      <c r="AN51" s="33"/>
      <c r="AO51" s="33"/>
    </row>
    <row r="52" spans="1:42">
      <c r="W52" s="4" t="s">
        <v>175</v>
      </c>
      <c r="X52" s="4">
        <v>2017</v>
      </c>
      <c r="Y52" s="4" t="s">
        <v>7</v>
      </c>
      <c r="Z52" s="4" t="s">
        <v>7</v>
      </c>
      <c r="AA52" s="4" t="s">
        <v>8</v>
      </c>
      <c r="AB52" s="4" t="s">
        <v>9</v>
      </c>
      <c r="AC52" s="4" t="s">
        <v>10</v>
      </c>
      <c r="AD52" s="4" t="s">
        <v>11</v>
      </c>
      <c r="AE52" s="4" t="s">
        <v>12</v>
      </c>
      <c r="AF52" s="4" t="s">
        <v>13</v>
      </c>
      <c r="AG52" s="4" t="s">
        <v>14</v>
      </c>
      <c r="AH52" s="4" t="s">
        <v>15</v>
      </c>
      <c r="AI52" s="4" t="s">
        <v>16</v>
      </c>
      <c r="AJ52" s="4" t="s">
        <v>17</v>
      </c>
      <c r="AK52" s="4" t="s">
        <v>18</v>
      </c>
      <c r="AN52" s="33" t="s">
        <v>182</v>
      </c>
      <c r="AO52" s="33" t="s">
        <v>183</v>
      </c>
      <c r="AP52" s="33" t="s">
        <v>184</v>
      </c>
    </row>
    <row r="53" spans="1:42">
      <c r="A53" s="4" t="s">
        <v>197</v>
      </c>
      <c r="B53" s="4">
        <v>2017</v>
      </c>
      <c r="C53" s="4">
        <v>2018</v>
      </c>
      <c r="D53" s="4">
        <v>2019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  <c r="K53" s="4" t="s">
        <v>13</v>
      </c>
      <c r="L53" s="4" t="s">
        <v>14</v>
      </c>
      <c r="M53" s="4" t="s">
        <v>15</v>
      </c>
      <c r="N53" s="4" t="s">
        <v>16</v>
      </c>
      <c r="O53" s="4" t="s">
        <v>17</v>
      </c>
      <c r="P53" s="4" t="s">
        <v>18</v>
      </c>
      <c r="S53" s="33" t="s">
        <v>48</v>
      </c>
      <c r="T53" s="33" t="s">
        <v>47</v>
      </c>
      <c r="W53" s="2" t="s">
        <v>169</v>
      </c>
      <c r="X53" s="7">
        <v>8.23</v>
      </c>
      <c r="Y53" s="7">
        <v>9.09</v>
      </c>
      <c r="Z53" s="7">
        <v>9.09</v>
      </c>
      <c r="AA53" s="7"/>
      <c r="AB53" s="7"/>
      <c r="AC53" s="32"/>
      <c r="AD53" s="32"/>
      <c r="AE53" s="7"/>
      <c r="AF53" s="32"/>
      <c r="AG53" s="7"/>
      <c r="AH53" s="7"/>
      <c r="AI53" s="7"/>
      <c r="AJ53" s="7"/>
      <c r="AK53" s="7"/>
      <c r="AN53" s="33">
        <f t="shared" ref="AN53:AN58" si="14">X53</f>
        <v>8.23</v>
      </c>
      <c r="AO53" s="33">
        <v>12</v>
      </c>
      <c r="AP53" s="33">
        <f t="shared" ref="AP53:AP58" si="15">AN63</f>
        <v>0</v>
      </c>
    </row>
    <row r="54" spans="1:42">
      <c r="A54" s="2" t="s">
        <v>164</v>
      </c>
      <c r="B54" s="35">
        <v>2.6213731373409726E-4</v>
      </c>
      <c r="C54" s="35">
        <v>5.807051904040565E-4</v>
      </c>
      <c r="D54" s="35">
        <v>0</v>
      </c>
      <c r="E54" s="35"/>
      <c r="F54" s="35"/>
      <c r="G54" s="35"/>
      <c r="H54" s="35"/>
      <c r="I54" s="35"/>
      <c r="J54" s="36"/>
      <c r="K54" s="35"/>
      <c r="L54" s="35"/>
      <c r="M54" s="35"/>
      <c r="N54" s="35"/>
      <c r="O54" s="35"/>
      <c r="P54" s="35"/>
      <c r="S54" s="37">
        <v>0</v>
      </c>
      <c r="T54" s="37">
        <f>C54-S54</f>
        <v>5.807051904040565E-4</v>
      </c>
      <c r="W54" s="2" t="s">
        <v>170</v>
      </c>
      <c r="X54" s="7">
        <v>10.9</v>
      </c>
      <c r="Y54" s="7">
        <v>9.1</v>
      </c>
      <c r="Z54" s="7">
        <v>9.1</v>
      </c>
      <c r="AA54" s="7">
        <v>13.35</v>
      </c>
      <c r="AB54" s="7">
        <v>11.82</v>
      </c>
      <c r="AC54" s="32">
        <v>13.3</v>
      </c>
      <c r="AD54" s="32"/>
      <c r="AE54" s="7"/>
      <c r="AF54" s="32"/>
      <c r="AG54" s="7"/>
      <c r="AH54" s="7"/>
      <c r="AI54" s="7"/>
      <c r="AJ54" s="7"/>
      <c r="AK54" s="7"/>
      <c r="AN54" s="33">
        <f t="shared" si="14"/>
        <v>10.9</v>
      </c>
      <c r="AO54" s="33">
        <v>12</v>
      </c>
      <c r="AP54" s="33">
        <f t="shared" si="15"/>
        <v>0</v>
      </c>
    </row>
    <row r="55" spans="1:42">
      <c r="A55" s="2" t="s">
        <v>185</v>
      </c>
      <c r="B55" s="35">
        <v>1.124879993761981E-2</v>
      </c>
      <c r="C55" s="35">
        <v>1.475274353274387E-2</v>
      </c>
      <c r="D55" s="35">
        <v>0</v>
      </c>
      <c r="E55" s="35"/>
      <c r="F55" s="35"/>
      <c r="G55" s="35"/>
      <c r="H55" s="35"/>
      <c r="I55" s="35"/>
      <c r="J55" s="36"/>
      <c r="K55" s="35"/>
      <c r="L55" s="35"/>
      <c r="M55" s="35"/>
      <c r="N55" s="35"/>
      <c r="O55" s="35"/>
      <c r="P55" s="35"/>
      <c r="S55" s="37">
        <v>2E-3</v>
      </c>
      <c r="T55" s="37">
        <f>C55-S55</f>
        <v>1.275274353274387E-2</v>
      </c>
      <c r="W55" s="2" t="s">
        <v>173</v>
      </c>
      <c r="X55" s="7">
        <v>46.7</v>
      </c>
      <c r="Y55" s="7">
        <v>15.9</v>
      </c>
      <c r="Z55" s="7">
        <v>15.9</v>
      </c>
      <c r="AA55" s="7">
        <v>15.8</v>
      </c>
      <c r="AB55" s="7">
        <v>22.2</v>
      </c>
      <c r="AC55" s="7">
        <v>24.3</v>
      </c>
      <c r="AD55" s="7"/>
      <c r="AE55" s="7"/>
      <c r="AF55" s="7"/>
      <c r="AG55" s="7"/>
      <c r="AH55" s="7"/>
      <c r="AI55" s="7"/>
      <c r="AJ55" s="7"/>
      <c r="AK55" s="7"/>
      <c r="AN55" s="33">
        <f t="shared" si="14"/>
        <v>46.7</v>
      </c>
      <c r="AO55" s="33">
        <v>60</v>
      </c>
      <c r="AP55" s="33">
        <f t="shared" si="15"/>
        <v>0</v>
      </c>
    </row>
    <row r="56" spans="1:42">
      <c r="A56" s="2" t="s">
        <v>166</v>
      </c>
      <c r="B56" s="35">
        <v>2.3514371059442808E-2</v>
      </c>
      <c r="C56" s="35">
        <v>1.7601806269902563E-2</v>
      </c>
      <c r="D56" s="35">
        <v>0</v>
      </c>
      <c r="E56" s="35"/>
      <c r="F56" s="35"/>
      <c r="G56" s="35"/>
      <c r="H56" s="35"/>
      <c r="I56" s="35"/>
      <c r="J56" s="36"/>
      <c r="K56" s="35"/>
      <c r="L56" s="35"/>
      <c r="M56" s="35"/>
      <c r="N56" s="35"/>
      <c r="O56" s="35"/>
      <c r="P56" s="35"/>
      <c r="S56" s="37">
        <v>2.5999999999999999E-3</v>
      </c>
      <c r="T56" s="37">
        <f>C56-S56</f>
        <v>1.5001806269902563E-2</v>
      </c>
      <c r="W56" s="2" t="s">
        <v>23</v>
      </c>
      <c r="X56" s="7">
        <v>9.01</v>
      </c>
      <c r="Y56" s="39"/>
      <c r="Z56" s="39"/>
      <c r="AA56" s="7"/>
      <c r="AB56" s="7"/>
      <c r="AC56" s="7"/>
      <c r="AD56" s="32"/>
      <c r="AE56" s="32"/>
      <c r="AF56" s="7"/>
      <c r="AG56" s="7"/>
      <c r="AH56" s="7"/>
      <c r="AI56" s="7"/>
      <c r="AJ56" s="7"/>
      <c r="AK56" s="7"/>
      <c r="AN56" s="33">
        <f t="shared" si="14"/>
        <v>9.01</v>
      </c>
      <c r="AO56" s="33">
        <v>15</v>
      </c>
      <c r="AP56" s="33">
        <f t="shared" si="15"/>
        <v>0</v>
      </c>
    </row>
    <row r="57" spans="1:42">
      <c r="A57" s="2" t="s">
        <v>198</v>
      </c>
      <c r="B57" s="35">
        <v>3.8883520543910297E-2</v>
      </c>
      <c r="C57" s="35">
        <v>2.3073326697819925E-2</v>
      </c>
      <c r="D57" s="35">
        <v>0</v>
      </c>
      <c r="E57" s="36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S57" s="37">
        <v>3.0999999999999999E-3</v>
      </c>
      <c r="T57" s="37">
        <f>C57-S57</f>
        <v>1.9973326697819926E-2</v>
      </c>
      <c r="W57" s="2" t="s">
        <v>26</v>
      </c>
      <c r="X57" s="7">
        <v>28.27</v>
      </c>
      <c r="Y57" s="39"/>
      <c r="Z57" s="39"/>
      <c r="AA57" s="7"/>
      <c r="AB57" s="7"/>
      <c r="AC57" s="7"/>
      <c r="AD57" s="32"/>
      <c r="AE57" s="32"/>
      <c r="AF57" s="7"/>
      <c r="AG57" s="7"/>
      <c r="AH57" s="7"/>
      <c r="AI57" s="7"/>
      <c r="AJ57" s="7"/>
      <c r="AK57" s="7"/>
      <c r="AN57" s="33">
        <f t="shared" si="14"/>
        <v>28.27</v>
      </c>
      <c r="AO57" s="33">
        <v>45</v>
      </c>
      <c r="AP57" s="33">
        <f t="shared" si="15"/>
        <v>0</v>
      </c>
    </row>
    <row r="58" spans="1:42">
      <c r="A58" s="2" t="s">
        <v>200</v>
      </c>
      <c r="B58" s="35">
        <f>AVERAGE(B54:B57)</f>
        <v>1.8477207213676752E-2</v>
      </c>
      <c r="C58" s="35">
        <f>AVERAGE(C54:C57)</f>
        <v>1.4002145422717603E-2</v>
      </c>
      <c r="D58" s="35">
        <f>AVERAGE(D54:D57)</f>
        <v>0</v>
      </c>
      <c r="E58" s="35" t="e">
        <f t="shared" ref="E58:P58" si="16">AVERAGE(E54:E57)</f>
        <v>#DIV/0!</v>
      </c>
      <c r="F58" s="35" t="e">
        <f t="shared" si="16"/>
        <v>#DIV/0!</v>
      </c>
      <c r="G58" s="35" t="e">
        <f t="shared" si="16"/>
        <v>#DIV/0!</v>
      </c>
      <c r="H58" s="35" t="e">
        <f t="shared" si="16"/>
        <v>#DIV/0!</v>
      </c>
      <c r="I58" s="35" t="e">
        <f t="shared" si="16"/>
        <v>#DIV/0!</v>
      </c>
      <c r="J58" s="35" t="e">
        <f t="shared" si="16"/>
        <v>#DIV/0!</v>
      </c>
      <c r="K58" s="35" t="e">
        <f t="shared" si="16"/>
        <v>#DIV/0!</v>
      </c>
      <c r="L58" s="35" t="e">
        <f t="shared" si="16"/>
        <v>#DIV/0!</v>
      </c>
      <c r="M58" s="35" t="e">
        <f t="shared" si="16"/>
        <v>#DIV/0!</v>
      </c>
      <c r="N58" s="35" t="e">
        <f t="shared" si="16"/>
        <v>#DIV/0!</v>
      </c>
      <c r="O58" s="35" t="e">
        <f t="shared" si="16"/>
        <v>#DIV/0!</v>
      </c>
      <c r="P58" s="35" t="e">
        <f t="shared" si="16"/>
        <v>#DIV/0!</v>
      </c>
      <c r="S58" s="37">
        <f>AVERAGE(S54:S57)</f>
        <v>1.9250000000000001E-3</v>
      </c>
      <c r="T58" s="37">
        <f>AVERAGE(T54:T57)</f>
        <v>1.2077145422717605E-2</v>
      </c>
      <c r="W58" s="2" t="s">
        <v>174</v>
      </c>
      <c r="X58" s="7"/>
      <c r="Y58" s="7">
        <v>24.6</v>
      </c>
      <c r="Z58" s="7">
        <v>24.6</v>
      </c>
      <c r="AA58" s="7"/>
      <c r="AB58" s="7"/>
      <c r="AC58" s="7"/>
      <c r="AD58" s="32"/>
      <c r="AE58" s="32"/>
      <c r="AF58" s="7"/>
      <c r="AG58" s="7"/>
      <c r="AH58" s="7"/>
      <c r="AI58" s="7"/>
      <c r="AJ58" s="7"/>
      <c r="AK58" s="7"/>
      <c r="AN58" s="33">
        <f t="shared" si="14"/>
        <v>0</v>
      </c>
      <c r="AO58" s="33"/>
      <c r="AP58" s="33">
        <f t="shared" si="15"/>
        <v>0</v>
      </c>
    </row>
    <row r="59" spans="1:42">
      <c r="A59" s="2" t="s">
        <v>30</v>
      </c>
      <c r="B59" s="35"/>
      <c r="C59" s="35"/>
      <c r="D59" s="35"/>
      <c r="E59" s="35">
        <f>C58-T59</f>
        <v>1.3520895422717604E-2</v>
      </c>
      <c r="F59" s="35">
        <f>E59</f>
        <v>1.3520895422717604E-2</v>
      </c>
      <c r="G59" s="35">
        <f>F59</f>
        <v>1.3520895422717604E-2</v>
      </c>
      <c r="H59" s="35">
        <f>G59-T59</f>
        <v>1.3039645422717605E-2</v>
      </c>
      <c r="I59" s="35">
        <f>H59</f>
        <v>1.3039645422717605E-2</v>
      </c>
      <c r="J59" s="35">
        <f>I59</f>
        <v>1.3039645422717605E-2</v>
      </c>
      <c r="K59" s="35">
        <f>J59-T59</f>
        <v>1.2558395422717606E-2</v>
      </c>
      <c r="L59" s="35">
        <f>K59</f>
        <v>1.2558395422717606E-2</v>
      </c>
      <c r="M59" s="35">
        <f>L59</f>
        <v>1.2558395422717606E-2</v>
      </c>
      <c r="N59" s="35">
        <f>M59-T59</f>
        <v>1.2077145422717607E-2</v>
      </c>
      <c r="O59" s="35">
        <f>N59</f>
        <v>1.2077145422717607E-2</v>
      </c>
      <c r="P59" s="35">
        <f>O59</f>
        <v>1.2077145422717607E-2</v>
      </c>
      <c r="Q59" s="37"/>
      <c r="S59" s="37"/>
      <c r="T59" s="37">
        <f>(C58-T58)/4</f>
        <v>4.8124999999999947E-4</v>
      </c>
      <c r="W59" s="2" t="s">
        <v>56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N59" s="33"/>
      <c r="AO59" s="33"/>
    </row>
    <row r="60" spans="1:42">
      <c r="W60" s="2" t="s">
        <v>30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N60" s="33"/>
      <c r="AO60" s="33"/>
    </row>
    <row r="61" spans="1:42" ht="23.25">
      <c r="A61" s="44" t="s">
        <v>214</v>
      </c>
      <c r="AN61" s="33"/>
      <c r="AO61" s="33"/>
    </row>
    <row r="62" spans="1:42">
      <c r="A62" s="4" t="s">
        <v>195</v>
      </c>
      <c r="B62" s="4">
        <v>2017</v>
      </c>
      <c r="C62" s="4">
        <v>2018</v>
      </c>
      <c r="D62" s="4">
        <v>2019</v>
      </c>
      <c r="E62" s="4" t="s">
        <v>7</v>
      </c>
      <c r="F62" s="4" t="s">
        <v>8</v>
      </c>
      <c r="G62" s="4" t="s">
        <v>9</v>
      </c>
      <c r="H62" s="4" t="s">
        <v>10</v>
      </c>
      <c r="I62" s="4" t="s">
        <v>11</v>
      </c>
      <c r="J62" s="4" t="s">
        <v>12</v>
      </c>
      <c r="K62" s="4" t="s">
        <v>13</v>
      </c>
      <c r="L62" s="4" t="s">
        <v>14</v>
      </c>
      <c r="M62" s="4" t="s">
        <v>15</v>
      </c>
      <c r="N62" s="4" t="s">
        <v>16</v>
      </c>
      <c r="O62" s="4" t="s">
        <v>17</v>
      </c>
      <c r="P62" s="4" t="s">
        <v>18</v>
      </c>
      <c r="S62" s="33" t="s">
        <v>28</v>
      </c>
      <c r="T62" s="33" t="s">
        <v>4</v>
      </c>
      <c r="W62" s="4" t="s">
        <v>181</v>
      </c>
      <c r="X62" s="4">
        <v>2017</v>
      </c>
      <c r="Y62" s="4" t="s">
        <v>7</v>
      </c>
      <c r="Z62" s="4" t="s">
        <v>7</v>
      </c>
      <c r="AA62" s="4" t="s">
        <v>8</v>
      </c>
      <c r="AB62" s="4" t="s">
        <v>9</v>
      </c>
      <c r="AC62" s="4" t="s">
        <v>10</v>
      </c>
      <c r="AD62" s="4" t="s">
        <v>11</v>
      </c>
      <c r="AE62" s="4" t="s">
        <v>12</v>
      </c>
      <c r="AF62" s="4" t="s">
        <v>13</v>
      </c>
      <c r="AG62" s="4" t="s">
        <v>14</v>
      </c>
      <c r="AH62" s="4" t="s">
        <v>15</v>
      </c>
      <c r="AI62" s="4" t="s">
        <v>16</v>
      </c>
      <c r="AJ62" s="4" t="s">
        <v>17</v>
      </c>
      <c r="AK62" s="4" t="s">
        <v>18</v>
      </c>
      <c r="AN62" s="33" t="s">
        <v>178</v>
      </c>
      <c r="AO62" s="33" t="s">
        <v>179</v>
      </c>
    </row>
    <row r="63" spans="1:42">
      <c r="A63" s="2" t="s">
        <v>217</v>
      </c>
      <c r="B63" s="11">
        <v>0.60550000000000004</v>
      </c>
      <c r="C63" s="11">
        <v>0.51034999999999997</v>
      </c>
      <c r="D63" s="11">
        <v>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S63" s="37">
        <f>C63</f>
        <v>0.51034999999999997</v>
      </c>
      <c r="T63" s="37">
        <v>0.6</v>
      </c>
      <c r="W63" s="2" t="s">
        <v>169</v>
      </c>
      <c r="X63" s="7"/>
      <c r="Y63" s="7"/>
      <c r="Z63" s="7"/>
      <c r="AA63" s="7"/>
      <c r="AB63" s="7"/>
      <c r="AC63" s="32"/>
      <c r="AD63" s="32"/>
      <c r="AE63" s="7"/>
      <c r="AF63" s="32"/>
      <c r="AG63" s="7"/>
      <c r="AH63" s="7"/>
      <c r="AI63" s="7"/>
      <c r="AJ63" s="7"/>
      <c r="AK63" s="7"/>
      <c r="AN63" s="33">
        <f t="shared" ref="AN63:AN68" si="17">X63</f>
        <v>0</v>
      </c>
      <c r="AO63" s="33"/>
    </row>
    <row r="64" spans="1:42">
      <c r="A64" s="2" t="s">
        <v>218</v>
      </c>
      <c r="B64" s="11">
        <v>0.61899999999999999</v>
      </c>
      <c r="C64" s="11">
        <v>0.48099999999999998</v>
      </c>
      <c r="D64" s="11">
        <v>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S64" s="37">
        <f>C64</f>
        <v>0.48099999999999998</v>
      </c>
      <c r="T64" s="37">
        <v>0.55000000000000004</v>
      </c>
      <c r="W64" s="2" t="s">
        <v>170</v>
      </c>
      <c r="X64" s="7"/>
      <c r="Y64" s="7"/>
      <c r="Z64" s="7"/>
      <c r="AA64" s="7"/>
      <c r="AB64" s="7"/>
      <c r="AC64" s="32"/>
      <c r="AD64" s="32"/>
      <c r="AE64" s="7"/>
      <c r="AF64" s="32"/>
      <c r="AG64" s="7"/>
      <c r="AH64" s="7"/>
      <c r="AI64" s="7"/>
      <c r="AJ64" s="7"/>
      <c r="AK64" s="7"/>
      <c r="AN64" s="33">
        <f t="shared" si="17"/>
        <v>0</v>
      </c>
      <c r="AO64" s="33"/>
    </row>
    <row r="65" spans="1:42">
      <c r="A65" s="2" t="s">
        <v>219</v>
      </c>
      <c r="B65" s="11">
        <v>0.68</v>
      </c>
      <c r="C65" s="11">
        <v>0.72963</v>
      </c>
      <c r="D65" s="11">
        <v>0</v>
      </c>
      <c r="E65" s="11"/>
      <c r="F65" s="11"/>
      <c r="G65" s="11"/>
      <c r="H65" s="11"/>
      <c r="I65" s="9"/>
      <c r="J65" s="9"/>
      <c r="K65" s="11"/>
      <c r="L65" s="11"/>
      <c r="M65" s="11"/>
      <c r="N65" s="11"/>
      <c r="O65" s="11"/>
      <c r="P65" s="11"/>
      <c r="S65" s="37">
        <f>C65</f>
        <v>0.72963</v>
      </c>
      <c r="T65" s="37">
        <v>0.75</v>
      </c>
      <c r="W65" s="2" t="s">
        <v>173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N65" s="33">
        <f t="shared" si="17"/>
        <v>0</v>
      </c>
      <c r="AO65" s="33"/>
    </row>
    <row r="66" spans="1:42">
      <c r="A66" s="2" t="s">
        <v>220</v>
      </c>
      <c r="B66" s="11">
        <v>0.73</v>
      </c>
      <c r="C66" s="9">
        <v>0.67200000000000004</v>
      </c>
      <c r="D66" s="9">
        <v>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S66" s="37">
        <f>C66</f>
        <v>0.67200000000000004</v>
      </c>
      <c r="T66" s="37">
        <v>0.7</v>
      </c>
      <c r="W66" s="2" t="s">
        <v>23</v>
      </c>
      <c r="X66" s="7"/>
      <c r="Y66" s="7"/>
      <c r="Z66" s="7"/>
      <c r="AA66" s="7"/>
      <c r="AB66" s="7"/>
      <c r="AC66" s="7"/>
      <c r="AD66" s="32"/>
      <c r="AE66" s="32"/>
      <c r="AF66" s="7"/>
      <c r="AG66" s="7"/>
      <c r="AH66" s="7"/>
      <c r="AI66" s="7"/>
      <c r="AJ66" s="7"/>
      <c r="AK66" s="7"/>
      <c r="AN66" s="33">
        <f t="shared" si="17"/>
        <v>0</v>
      </c>
      <c r="AO66" s="33"/>
    </row>
    <row r="67" spans="1:42">
      <c r="A67" s="2" t="s">
        <v>56</v>
      </c>
      <c r="B67" s="11">
        <f>AVERAGE(B63:B66)</f>
        <v>0.65862500000000002</v>
      </c>
      <c r="C67" s="11">
        <f>AVERAGE(C63:C66)</f>
        <v>0.59824500000000003</v>
      </c>
      <c r="D67" s="11">
        <f>AVERAGE(D63:D66)</f>
        <v>0</v>
      </c>
      <c r="E67" s="11" t="e">
        <f>AVERAGE(E63:E66)</f>
        <v>#DIV/0!</v>
      </c>
      <c r="F67" s="11" t="e">
        <f t="shared" ref="F67:P67" si="18">AVERAGE(F63:F66)</f>
        <v>#DIV/0!</v>
      </c>
      <c r="G67" s="11" t="e">
        <f t="shared" si="18"/>
        <v>#DIV/0!</v>
      </c>
      <c r="H67" s="11" t="e">
        <f t="shared" si="18"/>
        <v>#DIV/0!</v>
      </c>
      <c r="I67" s="11" t="e">
        <f t="shared" si="18"/>
        <v>#DIV/0!</v>
      </c>
      <c r="J67" s="11" t="e">
        <f t="shared" si="18"/>
        <v>#DIV/0!</v>
      </c>
      <c r="K67" s="11" t="e">
        <f t="shared" si="18"/>
        <v>#DIV/0!</v>
      </c>
      <c r="L67" s="11" t="e">
        <f t="shared" si="18"/>
        <v>#DIV/0!</v>
      </c>
      <c r="M67" s="11" t="e">
        <f t="shared" si="18"/>
        <v>#DIV/0!</v>
      </c>
      <c r="N67" s="11" t="e">
        <f t="shared" si="18"/>
        <v>#DIV/0!</v>
      </c>
      <c r="O67" s="11" t="e">
        <f t="shared" si="18"/>
        <v>#DIV/0!</v>
      </c>
      <c r="P67" s="11" t="e">
        <f t="shared" si="18"/>
        <v>#DIV/0!</v>
      </c>
      <c r="S67" s="37">
        <f>AVERAGE(S63:S66)</f>
        <v>0.59824500000000003</v>
      </c>
      <c r="T67" s="37">
        <f>AVERAGE(T63:T66)</f>
        <v>0.64999999999999991</v>
      </c>
      <c r="W67" s="2" t="s">
        <v>26</v>
      </c>
      <c r="X67" s="7"/>
      <c r="Y67" s="7"/>
      <c r="Z67" s="7"/>
      <c r="AA67" s="7"/>
      <c r="AB67" s="7"/>
      <c r="AC67" s="7"/>
      <c r="AD67" s="32"/>
      <c r="AE67" s="32"/>
      <c r="AF67" s="7"/>
      <c r="AG67" s="7"/>
      <c r="AH67" s="7"/>
      <c r="AI67" s="7"/>
      <c r="AJ67" s="7"/>
      <c r="AK67" s="7"/>
      <c r="AN67" s="33">
        <f t="shared" si="17"/>
        <v>0</v>
      </c>
      <c r="AO67" s="33"/>
    </row>
    <row r="68" spans="1:42">
      <c r="A68" s="2" t="s">
        <v>30</v>
      </c>
      <c r="B68" s="11"/>
      <c r="C68" s="11">
        <v>0.70010937499999981</v>
      </c>
      <c r="D68" s="11"/>
      <c r="E68" s="11">
        <f>C67+T68</f>
        <v>0.61118375000000003</v>
      </c>
      <c r="F68" s="11">
        <f>E68</f>
        <v>0.61118375000000003</v>
      </c>
      <c r="G68" s="11">
        <f>F68</f>
        <v>0.61118375000000003</v>
      </c>
      <c r="H68" s="11">
        <f>G68+T68</f>
        <v>0.62412250000000002</v>
      </c>
      <c r="I68" s="11">
        <f>H68</f>
        <v>0.62412250000000002</v>
      </c>
      <c r="J68" s="11">
        <f>I68</f>
        <v>0.62412250000000002</v>
      </c>
      <c r="K68" s="11">
        <f>J68+T68</f>
        <v>0.63706125000000002</v>
      </c>
      <c r="L68" s="11">
        <f>K68</f>
        <v>0.63706125000000002</v>
      </c>
      <c r="M68" s="11">
        <f>L68</f>
        <v>0.63706125000000002</v>
      </c>
      <c r="N68" s="11">
        <f>M68+T68</f>
        <v>0.65</v>
      </c>
      <c r="O68" s="11">
        <f>N68</f>
        <v>0.65</v>
      </c>
      <c r="P68" s="11">
        <f>O68</f>
        <v>0.65</v>
      </c>
      <c r="S68" s="15"/>
      <c r="T68" s="15">
        <f>(T67-S67)/4</f>
        <v>1.2938749999999971E-2</v>
      </c>
      <c r="W68" s="2" t="s">
        <v>174</v>
      </c>
      <c r="X68" s="7"/>
      <c r="Y68" s="7"/>
      <c r="Z68" s="7"/>
      <c r="AA68" s="7"/>
      <c r="AB68" s="7"/>
      <c r="AC68" s="7"/>
      <c r="AD68" s="32"/>
      <c r="AE68" s="32"/>
      <c r="AF68" s="7"/>
      <c r="AG68" s="7"/>
      <c r="AH68" s="7"/>
      <c r="AI68" s="7"/>
      <c r="AJ68" s="7"/>
      <c r="AK68" s="7"/>
      <c r="AN68" s="33">
        <f t="shared" si="17"/>
        <v>0</v>
      </c>
      <c r="AO68" s="33"/>
    </row>
    <row r="69" spans="1:42">
      <c r="W69" s="2" t="s">
        <v>56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N69" s="33"/>
      <c r="AO69" s="33"/>
    </row>
    <row r="70" spans="1:42">
      <c r="A70" s="4" t="s">
        <v>45</v>
      </c>
      <c r="B70" s="4">
        <v>2017</v>
      </c>
      <c r="C70" s="4">
        <v>2018</v>
      </c>
      <c r="D70" s="4">
        <v>2019</v>
      </c>
      <c r="E70" s="4" t="s">
        <v>7</v>
      </c>
      <c r="F70" s="4" t="s">
        <v>8</v>
      </c>
      <c r="G70" s="4" t="s">
        <v>9</v>
      </c>
      <c r="H70" s="4" t="s">
        <v>10</v>
      </c>
      <c r="I70" s="4" t="s">
        <v>11</v>
      </c>
      <c r="J70" s="4" t="s">
        <v>12</v>
      </c>
      <c r="K70" s="4" t="s">
        <v>13</v>
      </c>
      <c r="L70" s="4" t="s">
        <v>14</v>
      </c>
      <c r="M70" s="4" t="s">
        <v>15</v>
      </c>
      <c r="N70" s="4" t="s">
        <v>16</v>
      </c>
      <c r="O70" s="4" t="s">
        <v>17</v>
      </c>
      <c r="P70" s="4" t="s">
        <v>18</v>
      </c>
      <c r="S70" s="33" t="s">
        <v>48</v>
      </c>
      <c r="T70" s="33" t="s">
        <v>47</v>
      </c>
      <c r="W70" s="2" t="s">
        <v>30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N70" s="33"/>
      <c r="AO70" s="33"/>
    </row>
    <row r="71" spans="1:42">
      <c r="A71" s="2" t="s">
        <v>164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S71" s="33">
        <f>C71*0.15</f>
        <v>0</v>
      </c>
      <c r="T71" s="33">
        <f>C71-S71</f>
        <v>0</v>
      </c>
      <c r="AN71" s="33"/>
      <c r="AO71" s="33"/>
    </row>
    <row r="72" spans="1:42">
      <c r="A72" s="2" t="s">
        <v>165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S72" s="33">
        <f>C72*0.15</f>
        <v>0</v>
      </c>
      <c r="T72" s="33">
        <f>C72-S72</f>
        <v>0</v>
      </c>
      <c r="W72" s="4" t="s">
        <v>176</v>
      </c>
      <c r="X72" s="4">
        <v>2017</v>
      </c>
      <c r="Y72" s="4" t="s">
        <v>7</v>
      </c>
      <c r="Z72" s="4" t="s">
        <v>7</v>
      </c>
      <c r="AA72" s="4" t="s">
        <v>8</v>
      </c>
      <c r="AB72" s="4" t="s">
        <v>9</v>
      </c>
      <c r="AC72" s="4" t="s">
        <v>10</v>
      </c>
      <c r="AD72" s="4" t="s">
        <v>11</v>
      </c>
      <c r="AE72" s="4" t="s">
        <v>12</v>
      </c>
      <c r="AF72" s="4" t="s">
        <v>13</v>
      </c>
      <c r="AG72" s="4" t="s">
        <v>14</v>
      </c>
      <c r="AH72" s="4" t="s">
        <v>15</v>
      </c>
      <c r="AI72" s="4" t="s">
        <v>16</v>
      </c>
      <c r="AJ72" s="4" t="s">
        <v>17</v>
      </c>
      <c r="AK72" s="4" t="s">
        <v>18</v>
      </c>
      <c r="AN72" s="33" t="s">
        <v>178</v>
      </c>
      <c r="AO72" s="33" t="s">
        <v>179</v>
      </c>
      <c r="AP72" s="1" t="s">
        <v>180</v>
      </c>
    </row>
    <row r="73" spans="1:42">
      <c r="A73" s="2" t="s">
        <v>166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32">
        <v>0</v>
      </c>
      <c r="J73" s="32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S73" s="33">
        <f>C73*0.15</f>
        <v>0</v>
      </c>
      <c r="T73" s="33">
        <f>C73-S73</f>
        <v>0</v>
      </c>
      <c r="W73" s="2" t="s">
        <v>169</v>
      </c>
      <c r="X73" s="7">
        <v>123.3</v>
      </c>
      <c r="Y73" s="7"/>
      <c r="Z73" s="7"/>
      <c r="AA73" s="7"/>
      <c r="AB73" s="7"/>
      <c r="AC73" s="32"/>
      <c r="AD73" s="32"/>
      <c r="AE73" s="7"/>
      <c r="AF73" s="32"/>
      <c r="AG73" s="7"/>
      <c r="AH73" s="7"/>
      <c r="AI73" s="7"/>
      <c r="AJ73" s="7"/>
      <c r="AK73" s="7"/>
      <c r="AN73" s="33">
        <f>X73</f>
        <v>123.3</v>
      </c>
      <c r="AO73" s="33">
        <v>60</v>
      </c>
      <c r="AP73" s="33">
        <f>AN84</f>
        <v>81.818181818181827</v>
      </c>
    </row>
    <row r="74" spans="1:42">
      <c r="A74" s="2" t="s">
        <v>167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S74" s="33">
        <f>C74*0.15</f>
        <v>0</v>
      </c>
      <c r="T74" s="33">
        <f>C74-S74</f>
        <v>0</v>
      </c>
      <c r="W74" s="2" t="s">
        <v>170</v>
      </c>
      <c r="X74" s="7">
        <v>137.35</v>
      </c>
      <c r="Y74" s="7"/>
      <c r="Z74" s="7"/>
      <c r="AA74" s="7"/>
      <c r="AB74" s="7"/>
      <c r="AC74" s="32"/>
      <c r="AD74" s="32"/>
      <c r="AE74" s="7"/>
      <c r="AF74" s="32"/>
      <c r="AG74" s="7"/>
      <c r="AH74" s="7"/>
      <c r="AI74" s="7"/>
      <c r="AJ74" s="7"/>
      <c r="AK74" s="7"/>
      <c r="AN74" s="33">
        <f t="shared" ref="AN74:AN79" si="19">X74</f>
        <v>137.35</v>
      </c>
      <c r="AO74" s="33">
        <v>60</v>
      </c>
      <c r="AP74" s="33">
        <f>AN85</f>
        <v>99.54</v>
      </c>
    </row>
    <row r="75" spans="1:42">
      <c r="A75" s="2" t="s">
        <v>56</v>
      </c>
      <c r="B75" s="34">
        <f>AVERAGE(B71:B74)</f>
        <v>0</v>
      </c>
      <c r="C75" s="7">
        <f>AVERAGE(C71:C74)</f>
        <v>0</v>
      </c>
      <c r="D75" s="7">
        <f>AVERAGE(D71:D74)</f>
        <v>0</v>
      </c>
      <c r="E75" s="7">
        <f>AVERAGE(E71:E74)</f>
        <v>0</v>
      </c>
      <c r="F75" s="7">
        <f>AVERAGE(F71:F74)</f>
        <v>0</v>
      </c>
      <c r="G75" s="7">
        <f t="shared" ref="G75:P75" si="20">AVERAGE(G71:G74)</f>
        <v>0</v>
      </c>
      <c r="H75" s="7">
        <f t="shared" si="20"/>
        <v>0</v>
      </c>
      <c r="I75" s="7">
        <f t="shared" si="20"/>
        <v>0</v>
      </c>
      <c r="J75" s="7">
        <f t="shared" si="20"/>
        <v>0</v>
      </c>
      <c r="K75" s="7">
        <f t="shared" si="20"/>
        <v>0</v>
      </c>
      <c r="L75" s="7">
        <f t="shared" si="20"/>
        <v>0</v>
      </c>
      <c r="M75" s="7">
        <f t="shared" si="20"/>
        <v>0</v>
      </c>
      <c r="N75" s="7">
        <f t="shared" si="20"/>
        <v>0</v>
      </c>
      <c r="O75" s="7">
        <f t="shared" si="20"/>
        <v>0</v>
      </c>
      <c r="P75" s="7">
        <f t="shared" si="20"/>
        <v>0</v>
      </c>
      <c r="S75" s="33">
        <f>AVERAGE(S71:S74)</f>
        <v>0</v>
      </c>
      <c r="T75" s="33">
        <f>AVERAGE(T71:T74)</f>
        <v>0</v>
      </c>
      <c r="W75" s="2" t="s">
        <v>172</v>
      </c>
      <c r="X75" s="7">
        <v>99.41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N75" s="33">
        <f t="shared" si="19"/>
        <v>99.41</v>
      </c>
      <c r="AO75" s="33">
        <v>60</v>
      </c>
      <c r="AP75" s="33">
        <f>AN87</f>
        <v>87.25</v>
      </c>
    </row>
    <row r="76" spans="1:42">
      <c r="A76" s="2" t="s">
        <v>30</v>
      </c>
      <c r="B76" s="34"/>
      <c r="C76" s="34">
        <v>5.9983166253371936</v>
      </c>
      <c r="D76" s="34"/>
      <c r="E76" s="7">
        <f>C75-S76</f>
        <v>0</v>
      </c>
      <c r="F76" s="7">
        <f>E76</f>
        <v>0</v>
      </c>
      <c r="G76" s="7">
        <f>F76</f>
        <v>0</v>
      </c>
      <c r="H76" s="7">
        <f>G76-S76</f>
        <v>0</v>
      </c>
      <c r="I76" s="7">
        <f>H76</f>
        <v>0</v>
      </c>
      <c r="J76" s="7">
        <f>I76</f>
        <v>0</v>
      </c>
      <c r="K76" s="7">
        <f>J76-S76</f>
        <v>0</v>
      </c>
      <c r="L76" s="7">
        <f>K76</f>
        <v>0</v>
      </c>
      <c r="M76" s="7">
        <f>L76</f>
        <v>0</v>
      </c>
      <c r="N76" s="7">
        <f>M76-S76</f>
        <v>0</v>
      </c>
      <c r="O76" s="7">
        <f>N76</f>
        <v>0</v>
      </c>
      <c r="P76" s="7">
        <f>O76</f>
        <v>0</v>
      </c>
      <c r="S76" s="33">
        <f>S75/4</f>
        <v>0</v>
      </c>
      <c r="V76" s="40"/>
      <c r="W76" s="2" t="s">
        <v>173</v>
      </c>
      <c r="X76" s="7">
        <v>72.03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N76" s="33">
        <f t="shared" si="19"/>
        <v>72.03</v>
      </c>
      <c r="AO76" s="33">
        <v>60</v>
      </c>
      <c r="AP76" s="33">
        <f>AN88</f>
        <v>270.74</v>
      </c>
    </row>
    <row r="77" spans="1:42">
      <c r="W77" s="2" t="s">
        <v>23</v>
      </c>
      <c r="X77" s="7">
        <v>129.32</v>
      </c>
      <c r="Y77" s="7"/>
      <c r="Z77" s="7"/>
      <c r="AA77" s="7"/>
      <c r="AB77" s="7"/>
      <c r="AC77" s="7"/>
      <c r="AD77" s="32"/>
      <c r="AE77" s="32"/>
      <c r="AF77" s="7"/>
      <c r="AG77" s="7"/>
      <c r="AH77" s="7"/>
      <c r="AI77" s="7"/>
      <c r="AJ77" s="7"/>
      <c r="AK77" s="7"/>
      <c r="AN77" s="33">
        <f t="shared" si="19"/>
        <v>129.32</v>
      </c>
      <c r="AO77" s="33">
        <v>60</v>
      </c>
      <c r="AP77" s="33">
        <f>AN89</f>
        <v>35.6</v>
      </c>
    </row>
    <row r="78" spans="1:42">
      <c r="A78" s="4" t="s">
        <v>187</v>
      </c>
      <c r="B78" s="4">
        <v>2017</v>
      </c>
      <c r="C78" s="4">
        <v>2018</v>
      </c>
      <c r="D78" s="4">
        <v>2019</v>
      </c>
      <c r="E78" s="4" t="s">
        <v>7</v>
      </c>
      <c r="F78" s="4" t="s">
        <v>8</v>
      </c>
      <c r="G78" s="4" t="s">
        <v>9</v>
      </c>
      <c r="H78" s="4" t="s">
        <v>10</v>
      </c>
      <c r="I78" s="4" t="s">
        <v>11</v>
      </c>
      <c r="J78" s="4" t="s">
        <v>12</v>
      </c>
      <c r="K78" s="4" t="s">
        <v>13</v>
      </c>
      <c r="L78" s="4" t="s">
        <v>14</v>
      </c>
      <c r="M78" s="4" t="s">
        <v>15</v>
      </c>
      <c r="N78" s="4" t="s">
        <v>16</v>
      </c>
      <c r="O78" s="4" t="s">
        <v>17</v>
      </c>
      <c r="P78" s="4" t="s">
        <v>18</v>
      </c>
      <c r="S78" s="33" t="s">
        <v>48</v>
      </c>
      <c r="T78" s="33" t="s">
        <v>47</v>
      </c>
      <c r="W78" s="2" t="s">
        <v>26</v>
      </c>
      <c r="X78" s="7">
        <v>144.44999999999999</v>
      </c>
      <c r="Y78" s="7"/>
      <c r="Z78" s="7"/>
      <c r="AA78" s="7"/>
      <c r="AB78" s="7"/>
      <c r="AC78" s="7"/>
      <c r="AD78" s="32"/>
      <c r="AE78" s="32"/>
      <c r="AF78" s="7"/>
      <c r="AG78" s="7"/>
      <c r="AH78" s="7"/>
      <c r="AI78" s="7"/>
      <c r="AJ78" s="7"/>
      <c r="AK78" s="7"/>
      <c r="AN78" s="33">
        <f t="shared" si="19"/>
        <v>144.44999999999999</v>
      </c>
      <c r="AO78" s="33">
        <v>60</v>
      </c>
      <c r="AP78" s="33">
        <f>AN90</f>
        <v>36.01</v>
      </c>
    </row>
    <row r="79" spans="1:42">
      <c r="A79" s="2" t="s">
        <v>164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S79" s="33">
        <f>C79*0.15</f>
        <v>0</v>
      </c>
      <c r="T79" s="33">
        <f>C79-S79</f>
        <v>0</v>
      </c>
      <c r="W79" s="2" t="s">
        <v>174</v>
      </c>
      <c r="X79" s="7"/>
      <c r="Y79" s="7"/>
      <c r="Z79" s="7"/>
      <c r="AA79" s="7"/>
      <c r="AB79" s="7"/>
      <c r="AC79" s="7"/>
      <c r="AD79" s="32"/>
      <c r="AE79" s="32"/>
      <c r="AF79" s="7"/>
      <c r="AG79" s="7"/>
      <c r="AH79" s="7"/>
      <c r="AI79" s="7"/>
      <c r="AJ79" s="7"/>
      <c r="AK79" s="7"/>
      <c r="AN79" s="33">
        <f t="shared" si="19"/>
        <v>0</v>
      </c>
      <c r="AO79" s="33">
        <v>60</v>
      </c>
      <c r="AP79" s="33">
        <f>AN91</f>
        <v>0</v>
      </c>
    </row>
    <row r="80" spans="1:42">
      <c r="A80" s="2" t="s">
        <v>185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S80" s="33">
        <f>C80*0.15</f>
        <v>0</v>
      </c>
      <c r="T80" s="33">
        <f>C80-S80</f>
        <v>0</v>
      </c>
      <c r="W80" s="2" t="s">
        <v>56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N80" s="33"/>
      <c r="AO80" s="33"/>
    </row>
    <row r="81" spans="1:42">
      <c r="A81" s="2" t="s">
        <v>166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8">
        <v>0</v>
      </c>
      <c r="J81" s="8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S81" s="33">
        <f>C81*0.15</f>
        <v>0</v>
      </c>
      <c r="T81" s="33">
        <f>C81-S81</f>
        <v>0</v>
      </c>
      <c r="W81" s="2" t="s">
        <v>30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N81" s="33"/>
      <c r="AO81" s="33"/>
    </row>
    <row r="82" spans="1:42">
      <c r="A82" s="2" t="s">
        <v>167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S82" s="33">
        <f>C82*0.15</f>
        <v>0</v>
      </c>
      <c r="T82" s="33">
        <f>C82-S82</f>
        <v>0</v>
      </c>
      <c r="AN82" s="33"/>
      <c r="AO82" s="33"/>
    </row>
    <row r="83" spans="1:42">
      <c r="A83" s="2" t="s">
        <v>56</v>
      </c>
      <c r="B83" s="10">
        <f>AVERAGE(B79:B82)</f>
        <v>0</v>
      </c>
      <c r="C83" s="10">
        <f>AVERAGE(C79:C82)</f>
        <v>0</v>
      </c>
      <c r="D83" s="10">
        <f>AVERAGE(D79:D82)</f>
        <v>0</v>
      </c>
      <c r="E83" s="10">
        <f>AVERAGE(E79:E82)</f>
        <v>0</v>
      </c>
      <c r="F83" s="10">
        <f t="shared" ref="F83:P83" si="21">AVERAGE(F79:F82)</f>
        <v>0</v>
      </c>
      <c r="G83" s="10">
        <f t="shared" si="21"/>
        <v>0</v>
      </c>
      <c r="H83" s="10">
        <f t="shared" si="21"/>
        <v>0</v>
      </c>
      <c r="I83" s="10">
        <f t="shared" si="21"/>
        <v>0</v>
      </c>
      <c r="J83" s="10">
        <f t="shared" si="21"/>
        <v>0</v>
      </c>
      <c r="K83" s="10">
        <f t="shared" si="21"/>
        <v>0</v>
      </c>
      <c r="L83" s="10">
        <f t="shared" si="21"/>
        <v>0</v>
      </c>
      <c r="M83" s="10">
        <f t="shared" si="21"/>
        <v>0</v>
      </c>
      <c r="N83" s="10">
        <f t="shared" si="21"/>
        <v>0</v>
      </c>
      <c r="O83" s="10">
        <f t="shared" si="21"/>
        <v>0</v>
      </c>
      <c r="P83" s="10">
        <f t="shared" si="21"/>
        <v>0</v>
      </c>
      <c r="S83" s="33">
        <f>AVERAGE(S79:S82)</f>
        <v>0</v>
      </c>
      <c r="T83" s="33">
        <f>AVERAGE(T79:T82)</f>
        <v>0</v>
      </c>
      <c r="W83" s="4" t="s">
        <v>177</v>
      </c>
      <c r="X83" s="4">
        <v>2017</v>
      </c>
      <c r="Y83" s="4" t="s">
        <v>7</v>
      </c>
      <c r="Z83" s="4" t="s">
        <v>7</v>
      </c>
      <c r="AA83" s="4" t="s">
        <v>8</v>
      </c>
      <c r="AB83" s="4" t="s">
        <v>9</v>
      </c>
      <c r="AC83" s="4" t="s">
        <v>10</v>
      </c>
      <c r="AD83" s="4" t="s">
        <v>11</v>
      </c>
      <c r="AE83" s="4" t="s">
        <v>12</v>
      </c>
      <c r="AF83" s="4" t="s">
        <v>13</v>
      </c>
      <c r="AG83" s="4" t="s">
        <v>14</v>
      </c>
      <c r="AH83" s="4" t="s">
        <v>15</v>
      </c>
      <c r="AI83" s="4" t="s">
        <v>16</v>
      </c>
      <c r="AJ83" s="4" t="s">
        <v>17</v>
      </c>
      <c r="AK83" s="4" t="s">
        <v>18</v>
      </c>
      <c r="AN83" s="33" t="s">
        <v>28</v>
      </c>
      <c r="AO83" s="33" t="s">
        <v>4</v>
      </c>
    </row>
    <row r="84" spans="1:42">
      <c r="A84" s="2" t="s">
        <v>30</v>
      </c>
      <c r="B84" s="10"/>
      <c r="C84" s="10">
        <v>85.917627250553323</v>
      </c>
      <c r="D84" s="10"/>
      <c r="E84" s="10">
        <f>C83-S84</f>
        <v>0</v>
      </c>
      <c r="F84" s="10">
        <f>E84</f>
        <v>0</v>
      </c>
      <c r="G84" s="10">
        <f>F84</f>
        <v>0</v>
      </c>
      <c r="H84" s="10">
        <f>G84-S84</f>
        <v>0</v>
      </c>
      <c r="I84" s="10">
        <f>H84</f>
        <v>0</v>
      </c>
      <c r="J84" s="10">
        <f>I84</f>
        <v>0</v>
      </c>
      <c r="K84" s="10">
        <f>J84-S84</f>
        <v>0</v>
      </c>
      <c r="L84" s="10">
        <f>K84</f>
        <v>0</v>
      </c>
      <c r="M84" s="10">
        <f>L84</f>
        <v>0</v>
      </c>
      <c r="N84" s="10">
        <f>M84-S84</f>
        <v>0</v>
      </c>
      <c r="O84" s="10">
        <f>N84</f>
        <v>0</v>
      </c>
      <c r="P84" s="10">
        <f>O84</f>
        <v>0</v>
      </c>
      <c r="S84" s="1">
        <f>S83/4</f>
        <v>0</v>
      </c>
      <c r="T84" s="1"/>
      <c r="W84" s="2" t="s">
        <v>169</v>
      </c>
      <c r="X84" s="7">
        <v>81.818181818181827</v>
      </c>
      <c r="Y84" s="7"/>
      <c r="Z84" s="7"/>
      <c r="AA84" s="7"/>
      <c r="AB84" s="7"/>
      <c r="AC84" s="32"/>
      <c r="AD84" s="32"/>
      <c r="AE84" s="7"/>
      <c r="AF84" s="32"/>
      <c r="AG84" s="7"/>
      <c r="AH84" s="7"/>
      <c r="AI84" s="7"/>
      <c r="AJ84" s="7"/>
      <c r="AK84" s="7"/>
      <c r="AN84" s="33">
        <f>X84</f>
        <v>81.818181818181827</v>
      </c>
      <c r="AO84" s="33">
        <v>60</v>
      </c>
    </row>
    <row r="85" spans="1:42">
      <c r="S85" s="1"/>
      <c r="T85" s="1"/>
      <c r="W85" s="2" t="s">
        <v>170</v>
      </c>
      <c r="X85" s="7">
        <v>99.54</v>
      </c>
      <c r="Y85" s="7"/>
      <c r="Z85" s="7"/>
      <c r="AA85" s="7"/>
      <c r="AB85" s="7"/>
      <c r="AC85" s="32"/>
      <c r="AD85" s="32"/>
      <c r="AE85" s="7"/>
      <c r="AF85" s="32"/>
      <c r="AG85" s="7"/>
      <c r="AH85" s="7"/>
      <c r="AI85" s="7"/>
      <c r="AJ85" s="7"/>
      <c r="AK85" s="7"/>
      <c r="AN85" s="33">
        <f t="shared" ref="AN85:AN91" si="22">X85</f>
        <v>99.54</v>
      </c>
      <c r="AO85" s="33">
        <v>60</v>
      </c>
    </row>
    <row r="86" spans="1:42">
      <c r="A86" s="4" t="s">
        <v>177</v>
      </c>
      <c r="B86" s="4">
        <v>2017</v>
      </c>
      <c r="C86" s="4">
        <v>2018</v>
      </c>
      <c r="D86" s="4">
        <v>2019</v>
      </c>
      <c r="E86" s="4" t="s">
        <v>7</v>
      </c>
      <c r="F86" s="4" t="s">
        <v>8</v>
      </c>
      <c r="G86" s="4" t="s">
        <v>9</v>
      </c>
      <c r="H86" s="4" t="s">
        <v>10</v>
      </c>
      <c r="I86" s="4" t="s">
        <v>11</v>
      </c>
      <c r="J86" s="4" t="s">
        <v>12</v>
      </c>
      <c r="K86" s="4" t="s">
        <v>13</v>
      </c>
      <c r="L86" s="4" t="s">
        <v>14</v>
      </c>
      <c r="M86" s="4" t="s">
        <v>15</v>
      </c>
      <c r="N86" s="4" t="s">
        <v>16</v>
      </c>
      <c r="O86" s="4" t="s">
        <v>17</v>
      </c>
      <c r="P86" s="4" t="s">
        <v>18</v>
      </c>
      <c r="S86" s="33" t="s">
        <v>48</v>
      </c>
      <c r="T86" s="33" t="s">
        <v>47</v>
      </c>
      <c r="W86" s="2" t="s">
        <v>171</v>
      </c>
      <c r="X86" s="7">
        <v>114.05</v>
      </c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N86" s="33">
        <f t="shared" si="22"/>
        <v>114.05</v>
      </c>
      <c r="AO86" s="33">
        <v>60</v>
      </c>
    </row>
    <row r="87" spans="1:42">
      <c r="A87" s="2" t="s">
        <v>164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S87" s="33">
        <f>C87*0.15</f>
        <v>0</v>
      </c>
      <c r="T87" s="33">
        <f>C87-S87</f>
        <v>0</v>
      </c>
      <c r="W87" s="2" t="s">
        <v>172</v>
      </c>
      <c r="X87" s="7">
        <v>87.25</v>
      </c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N87" s="33">
        <f t="shared" si="22"/>
        <v>87.25</v>
      </c>
      <c r="AO87" s="33">
        <v>60</v>
      </c>
    </row>
    <row r="88" spans="1:42">
      <c r="A88" s="2" t="s">
        <v>185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S88" s="33">
        <f>C88*0.15</f>
        <v>0</v>
      </c>
      <c r="T88" s="33">
        <f>C88-S88</f>
        <v>0</v>
      </c>
      <c r="W88" s="2" t="s">
        <v>173</v>
      </c>
      <c r="X88" s="7">
        <v>270.74</v>
      </c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N88" s="33">
        <f t="shared" si="22"/>
        <v>270.74</v>
      </c>
      <c r="AO88" s="33">
        <v>60</v>
      </c>
    </row>
    <row r="89" spans="1:42">
      <c r="A89" s="2" t="s">
        <v>166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8">
        <v>0</v>
      </c>
      <c r="J89" s="8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S89" s="33">
        <f>C89*0.15</f>
        <v>0</v>
      </c>
      <c r="T89" s="33">
        <f>C89-S89</f>
        <v>0</v>
      </c>
      <c r="W89" s="2" t="s">
        <v>23</v>
      </c>
      <c r="X89" s="7">
        <v>35.6</v>
      </c>
      <c r="Y89" s="7"/>
      <c r="Z89" s="7"/>
      <c r="AA89" s="7"/>
      <c r="AB89" s="7"/>
      <c r="AC89" s="7"/>
      <c r="AD89" s="32"/>
      <c r="AE89" s="32"/>
      <c r="AF89" s="7"/>
      <c r="AG89" s="7"/>
      <c r="AH89" s="7"/>
      <c r="AI89" s="7"/>
      <c r="AJ89" s="7"/>
      <c r="AK89" s="7"/>
      <c r="AN89" s="33">
        <f t="shared" si="22"/>
        <v>35.6</v>
      </c>
      <c r="AO89" s="33">
        <v>60</v>
      </c>
    </row>
    <row r="90" spans="1:42">
      <c r="A90" s="2" t="s">
        <v>167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S90" s="33">
        <f>C90*0.15</f>
        <v>0</v>
      </c>
      <c r="T90" s="33">
        <f>C90-S90</f>
        <v>0</v>
      </c>
      <c r="W90" s="2" t="s">
        <v>26</v>
      </c>
      <c r="X90" s="7">
        <v>36.01</v>
      </c>
      <c r="Y90" s="7"/>
      <c r="Z90" s="7"/>
      <c r="AA90" s="7"/>
      <c r="AB90" s="7"/>
      <c r="AC90" s="7"/>
      <c r="AD90" s="32"/>
      <c r="AE90" s="32"/>
      <c r="AF90" s="7"/>
      <c r="AG90" s="7"/>
      <c r="AH90" s="7"/>
      <c r="AI90" s="7"/>
      <c r="AJ90" s="7"/>
      <c r="AK90" s="7"/>
      <c r="AN90" s="33">
        <f t="shared" si="22"/>
        <v>36.01</v>
      </c>
      <c r="AO90" s="33">
        <v>60</v>
      </c>
    </row>
    <row r="91" spans="1:42">
      <c r="A91" s="2" t="s">
        <v>56</v>
      </c>
      <c r="B91" s="10">
        <f>AVERAGE(B87:B90)</f>
        <v>0</v>
      </c>
      <c r="C91" s="10">
        <f>AVERAGE(C87:C90)</f>
        <v>0</v>
      </c>
      <c r="D91" s="10">
        <f>AVERAGE(D87:D90)</f>
        <v>0</v>
      </c>
      <c r="E91" s="10">
        <f>AVERAGE(E87:E90)</f>
        <v>0</v>
      </c>
      <c r="F91" s="10">
        <f t="shared" ref="F91:P91" si="23">AVERAGE(F87:F90)</f>
        <v>0</v>
      </c>
      <c r="G91" s="10">
        <f t="shared" si="23"/>
        <v>0</v>
      </c>
      <c r="H91" s="10">
        <f t="shared" si="23"/>
        <v>0</v>
      </c>
      <c r="I91" s="10">
        <f t="shared" si="23"/>
        <v>0</v>
      </c>
      <c r="J91" s="10">
        <f t="shared" si="23"/>
        <v>0</v>
      </c>
      <c r="K91" s="10">
        <f t="shared" si="23"/>
        <v>0</v>
      </c>
      <c r="L91" s="10">
        <f t="shared" si="23"/>
        <v>0</v>
      </c>
      <c r="M91" s="10">
        <f t="shared" si="23"/>
        <v>0</v>
      </c>
      <c r="N91" s="10">
        <f t="shared" si="23"/>
        <v>0</v>
      </c>
      <c r="O91" s="10">
        <f t="shared" si="23"/>
        <v>0</v>
      </c>
      <c r="P91" s="10">
        <f t="shared" si="23"/>
        <v>0</v>
      </c>
      <c r="S91" s="33">
        <f>AVERAGE(S87:S90)</f>
        <v>0</v>
      </c>
      <c r="T91" s="33">
        <f>AVERAGE(T87:T90)</f>
        <v>0</v>
      </c>
      <c r="W91" s="2" t="s">
        <v>174</v>
      </c>
      <c r="X91" s="7"/>
      <c r="Y91" s="7"/>
      <c r="Z91" s="7"/>
      <c r="AA91" s="7"/>
      <c r="AB91" s="7"/>
      <c r="AC91" s="7"/>
      <c r="AD91" s="32"/>
      <c r="AE91" s="32"/>
      <c r="AF91" s="7"/>
      <c r="AG91" s="7"/>
      <c r="AH91" s="7"/>
      <c r="AI91" s="7"/>
      <c r="AJ91" s="7"/>
      <c r="AK91" s="7"/>
      <c r="AN91" s="33">
        <f t="shared" si="22"/>
        <v>0</v>
      </c>
      <c r="AO91" s="33">
        <v>60</v>
      </c>
    </row>
    <row r="92" spans="1:42">
      <c r="A92" s="2" t="s">
        <v>30</v>
      </c>
      <c r="B92" s="10"/>
      <c r="C92" s="10">
        <v>64.765134661970649</v>
      </c>
      <c r="D92" s="10"/>
      <c r="E92" s="10">
        <f>C91-S92</f>
        <v>0</v>
      </c>
      <c r="F92" s="10">
        <f>E92</f>
        <v>0</v>
      </c>
      <c r="G92" s="10">
        <f>F92</f>
        <v>0</v>
      </c>
      <c r="H92" s="10">
        <f>G92-S92</f>
        <v>0</v>
      </c>
      <c r="I92" s="10">
        <f>H92</f>
        <v>0</v>
      </c>
      <c r="J92" s="10">
        <f>I92</f>
        <v>0</v>
      </c>
      <c r="K92" s="10">
        <f>J92-S92</f>
        <v>0</v>
      </c>
      <c r="L92" s="10">
        <f>K92</f>
        <v>0</v>
      </c>
      <c r="M92" s="10">
        <f>L92</f>
        <v>0</v>
      </c>
      <c r="N92" s="10">
        <f>M92-S92</f>
        <v>0</v>
      </c>
      <c r="O92" s="10">
        <f>N92</f>
        <v>0</v>
      </c>
      <c r="P92" s="10">
        <f>O92</f>
        <v>0</v>
      </c>
      <c r="S92" s="1">
        <f>S91/4</f>
        <v>0</v>
      </c>
      <c r="T92" s="1"/>
      <c r="W92" s="2" t="s">
        <v>56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N92" s="33"/>
      <c r="AO92" s="33"/>
    </row>
    <row r="93" spans="1:42" s="5" customFormat="1">
      <c r="A93" s="4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W93" s="2" t="s">
        <v>30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1"/>
      <c r="AM93" s="1"/>
      <c r="AN93" s="33"/>
      <c r="AO93" s="33"/>
      <c r="AP93" s="1"/>
    </row>
    <row r="94" spans="1:42">
      <c r="A94" s="4" t="s">
        <v>203</v>
      </c>
      <c r="B94" s="4">
        <v>2017</v>
      </c>
      <c r="C94" s="4">
        <v>2018</v>
      </c>
      <c r="D94" s="4">
        <v>2019</v>
      </c>
      <c r="E94" s="4" t="s">
        <v>7</v>
      </c>
      <c r="F94" s="4" t="s">
        <v>8</v>
      </c>
      <c r="G94" s="4" t="s">
        <v>9</v>
      </c>
      <c r="H94" s="4" t="s">
        <v>10</v>
      </c>
      <c r="I94" s="4" t="s">
        <v>11</v>
      </c>
      <c r="J94" s="4" t="s">
        <v>12</v>
      </c>
      <c r="K94" s="4" t="s">
        <v>13</v>
      </c>
      <c r="L94" s="4" t="s">
        <v>14</v>
      </c>
      <c r="M94" s="4" t="s">
        <v>15</v>
      </c>
      <c r="N94" s="4" t="s">
        <v>16</v>
      </c>
      <c r="O94" s="4" t="s">
        <v>17</v>
      </c>
      <c r="P94" s="4" t="s">
        <v>18</v>
      </c>
      <c r="S94" s="33" t="s">
        <v>48</v>
      </c>
      <c r="T94" s="33" t="s">
        <v>47</v>
      </c>
      <c r="AN94" s="33"/>
      <c r="AO94" s="33"/>
    </row>
    <row r="95" spans="1:42">
      <c r="A95" s="2" t="s">
        <v>164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S95" s="33">
        <f>C95*0.1</f>
        <v>0</v>
      </c>
      <c r="T95" s="33">
        <f>C95-S95</f>
        <v>0</v>
      </c>
      <c r="W95" s="4" t="s">
        <v>210</v>
      </c>
      <c r="X95" s="4">
        <v>2017</v>
      </c>
      <c r="Y95" s="4">
        <v>2018</v>
      </c>
      <c r="Z95" s="4" t="s">
        <v>7</v>
      </c>
      <c r="AA95" s="4" t="s">
        <v>8</v>
      </c>
      <c r="AB95" s="4" t="s">
        <v>9</v>
      </c>
      <c r="AC95" s="4" t="s">
        <v>10</v>
      </c>
      <c r="AD95" s="4" t="s">
        <v>11</v>
      </c>
      <c r="AE95" s="4" t="s">
        <v>12</v>
      </c>
      <c r="AF95" s="4" t="s">
        <v>13</v>
      </c>
      <c r="AG95" s="4" t="s">
        <v>14</v>
      </c>
      <c r="AH95" s="4" t="s">
        <v>15</v>
      </c>
      <c r="AI95" s="4" t="s">
        <v>16</v>
      </c>
      <c r="AJ95" s="4" t="s">
        <v>17</v>
      </c>
      <c r="AK95" s="4" t="s">
        <v>18</v>
      </c>
    </row>
    <row r="96" spans="1:42">
      <c r="A96" s="2" t="s">
        <v>185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S96" s="33">
        <f>C96*0.1</f>
        <v>0</v>
      </c>
      <c r="T96" s="33">
        <f>C96-S96</f>
        <v>0</v>
      </c>
      <c r="W96" s="2" t="s">
        <v>164</v>
      </c>
      <c r="X96" s="7"/>
      <c r="Y96" s="10">
        <v>5.8863636363636367</v>
      </c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spans="1:42">
      <c r="A97" s="2" t="s">
        <v>166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8">
        <v>0</v>
      </c>
      <c r="J97" s="8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S97" s="33">
        <f>C97*0.1</f>
        <v>0</v>
      </c>
      <c r="T97" s="33">
        <f>C97-S97</f>
        <v>0</v>
      </c>
      <c r="W97" s="2" t="s">
        <v>185</v>
      </c>
      <c r="X97" s="7"/>
      <c r="Y97" s="10">
        <v>4.3939393939393936</v>
      </c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spans="1:42">
      <c r="A98" s="2" t="s">
        <v>167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S98" s="33">
        <f>C98*0.1</f>
        <v>0</v>
      </c>
      <c r="T98" s="33">
        <f>C98-S98</f>
        <v>0</v>
      </c>
      <c r="W98" s="2" t="s">
        <v>166</v>
      </c>
      <c r="X98" s="7"/>
      <c r="Y98" s="10">
        <v>3.3090909090909091</v>
      </c>
      <c r="Z98" s="10"/>
      <c r="AA98" s="10"/>
      <c r="AB98" s="10"/>
      <c r="AC98" s="10"/>
      <c r="AD98" s="8"/>
      <c r="AE98" s="8"/>
      <c r="AF98" s="10"/>
      <c r="AG98" s="10"/>
      <c r="AH98" s="10"/>
      <c r="AI98" s="10"/>
      <c r="AJ98" s="10"/>
      <c r="AK98" s="10"/>
    </row>
    <row r="99" spans="1:42">
      <c r="A99" s="2" t="s">
        <v>56</v>
      </c>
      <c r="B99" s="10">
        <f>AVERAGE(B95:B98)</f>
        <v>0</v>
      </c>
      <c r="C99" s="10">
        <f>AVERAGE(C95:C98)</f>
        <v>0</v>
      </c>
      <c r="D99" s="10">
        <f>AVERAGE(D95:D98)</f>
        <v>0</v>
      </c>
      <c r="E99" s="10">
        <f t="shared" ref="E99:P99" si="24">AVERAGE(E95:E98)</f>
        <v>0</v>
      </c>
      <c r="F99" s="10">
        <f t="shared" si="24"/>
        <v>0</v>
      </c>
      <c r="G99" s="10">
        <f t="shared" si="24"/>
        <v>0</v>
      </c>
      <c r="H99" s="10">
        <f t="shared" si="24"/>
        <v>0</v>
      </c>
      <c r="I99" s="10">
        <f t="shared" si="24"/>
        <v>0</v>
      </c>
      <c r="J99" s="10">
        <f t="shared" si="24"/>
        <v>0</v>
      </c>
      <c r="K99" s="10">
        <f t="shared" si="24"/>
        <v>0</v>
      </c>
      <c r="L99" s="10">
        <f t="shared" si="24"/>
        <v>0</v>
      </c>
      <c r="M99" s="10">
        <f t="shared" si="24"/>
        <v>0</v>
      </c>
      <c r="N99" s="10">
        <f t="shared" si="24"/>
        <v>0</v>
      </c>
      <c r="O99" s="10">
        <f t="shared" si="24"/>
        <v>0</v>
      </c>
      <c r="P99" s="10">
        <f t="shared" si="24"/>
        <v>0</v>
      </c>
      <c r="S99" s="33">
        <f>AVERAGE(S95:S98)</f>
        <v>0</v>
      </c>
      <c r="T99" s="33">
        <f>AVERAGE(T95:T98)</f>
        <v>0</v>
      </c>
      <c r="W99" s="2" t="s">
        <v>167</v>
      </c>
      <c r="X99" s="7"/>
      <c r="Y99" s="10">
        <v>5.1969696969696964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spans="1:42">
      <c r="A100" s="2" t="s">
        <v>30</v>
      </c>
      <c r="B100" s="10"/>
      <c r="C100" s="10">
        <v>125.125</v>
      </c>
      <c r="D100" s="10"/>
      <c r="E100" s="10">
        <f>C99-S100</f>
        <v>0</v>
      </c>
      <c r="F100" s="10">
        <f>E100</f>
        <v>0</v>
      </c>
      <c r="G100" s="10">
        <f>F100</f>
        <v>0</v>
      </c>
      <c r="H100" s="10">
        <f>G100-S100</f>
        <v>0</v>
      </c>
      <c r="I100" s="10">
        <f>H100</f>
        <v>0</v>
      </c>
      <c r="J100" s="10">
        <f>I100</f>
        <v>0</v>
      </c>
      <c r="K100" s="10">
        <f>J100-S100</f>
        <v>0</v>
      </c>
      <c r="L100" s="10">
        <f>K100</f>
        <v>0</v>
      </c>
      <c r="M100" s="10">
        <f>L100</f>
        <v>0</v>
      </c>
      <c r="N100" s="10">
        <f>M100-S100</f>
        <v>0</v>
      </c>
      <c r="O100" s="10">
        <f>N100</f>
        <v>0</v>
      </c>
      <c r="P100" s="10">
        <f>O100</f>
        <v>0</v>
      </c>
      <c r="S100" s="1">
        <f>S99/4</f>
        <v>0</v>
      </c>
      <c r="T100" s="1"/>
      <c r="W100" s="2" t="s">
        <v>191</v>
      </c>
      <c r="X100" s="7"/>
      <c r="Y100" s="10">
        <v>9.3333333333333321</v>
      </c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spans="1:42">
      <c r="S101" s="1"/>
      <c r="T101" s="1"/>
      <c r="W101" s="2" t="s">
        <v>56</v>
      </c>
      <c r="X101" s="10"/>
      <c r="Y101" s="10">
        <f t="shared" ref="Y101:AK101" si="25">AVERAGE(Y96:Y100)</f>
        <v>5.6239393939393931</v>
      </c>
      <c r="Z101" s="10" t="e">
        <f t="shared" si="25"/>
        <v>#DIV/0!</v>
      </c>
      <c r="AA101" s="10" t="e">
        <f t="shared" si="25"/>
        <v>#DIV/0!</v>
      </c>
      <c r="AB101" s="10" t="e">
        <f t="shared" si="25"/>
        <v>#DIV/0!</v>
      </c>
      <c r="AC101" s="10" t="e">
        <f t="shared" si="25"/>
        <v>#DIV/0!</v>
      </c>
      <c r="AD101" s="10" t="e">
        <f t="shared" si="25"/>
        <v>#DIV/0!</v>
      </c>
      <c r="AE101" s="10" t="e">
        <f t="shared" si="25"/>
        <v>#DIV/0!</v>
      </c>
      <c r="AF101" s="10" t="e">
        <f t="shared" si="25"/>
        <v>#DIV/0!</v>
      </c>
      <c r="AG101" s="10" t="e">
        <f t="shared" si="25"/>
        <v>#DIV/0!</v>
      </c>
      <c r="AH101" s="10" t="e">
        <f t="shared" si="25"/>
        <v>#DIV/0!</v>
      </c>
      <c r="AI101" s="10" t="e">
        <f t="shared" si="25"/>
        <v>#DIV/0!</v>
      </c>
      <c r="AJ101" s="10" t="e">
        <f t="shared" si="25"/>
        <v>#DIV/0!</v>
      </c>
      <c r="AK101" s="10" t="e">
        <f t="shared" si="25"/>
        <v>#DIV/0!</v>
      </c>
      <c r="AM101" s="38"/>
    </row>
    <row r="102" spans="1:42">
      <c r="A102" s="4" t="s">
        <v>211</v>
      </c>
      <c r="B102" s="4">
        <v>2017</v>
      </c>
      <c r="C102" s="4">
        <v>2018</v>
      </c>
      <c r="D102" s="4">
        <v>2019</v>
      </c>
      <c r="E102" s="4" t="s">
        <v>7</v>
      </c>
      <c r="F102" s="4" t="s">
        <v>8</v>
      </c>
      <c r="G102" s="4" t="s">
        <v>9</v>
      </c>
      <c r="H102" s="4" t="s">
        <v>10</v>
      </c>
      <c r="I102" s="4" t="s">
        <v>11</v>
      </c>
      <c r="J102" s="4" t="s">
        <v>12</v>
      </c>
      <c r="K102" s="4" t="s">
        <v>13</v>
      </c>
      <c r="L102" s="4" t="s">
        <v>14</v>
      </c>
      <c r="M102" s="4" t="s">
        <v>15</v>
      </c>
      <c r="N102" s="4" t="s">
        <v>16</v>
      </c>
      <c r="O102" s="4" t="s">
        <v>17</v>
      </c>
      <c r="P102" s="4" t="s">
        <v>18</v>
      </c>
      <c r="S102" s="33" t="s">
        <v>48</v>
      </c>
      <c r="T102" s="33" t="s">
        <v>47</v>
      </c>
      <c r="W102" s="2" t="s">
        <v>30</v>
      </c>
      <c r="X102" s="7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M102" s="38"/>
    </row>
    <row r="103" spans="1:42">
      <c r="A103" s="2" t="s">
        <v>164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S103" s="33">
        <f>C103*0.3</f>
        <v>0</v>
      </c>
      <c r="T103" s="33">
        <f>C103-S103</f>
        <v>0</v>
      </c>
      <c r="AN103" s="33"/>
      <c r="AO103" s="33"/>
    </row>
    <row r="104" spans="1:42">
      <c r="A104" s="2" t="s">
        <v>185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S104" s="33">
        <f>C104*0.3</f>
        <v>0</v>
      </c>
      <c r="T104" s="33">
        <f>C104-S104</f>
        <v>0</v>
      </c>
      <c r="W104" s="4" t="s">
        <v>202</v>
      </c>
      <c r="X104" s="4">
        <v>2017</v>
      </c>
      <c r="Y104" s="4">
        <v>2018</v>
      </c>
      <c r="Z104" s="4" t="s">
        <v>7</v>
      </c>
      <c r="AA104" s="4" t="s">
        <v>8</v>
      </c>
      <c r="AB104" s="4" t="s">
        <v>9</v>
      </c>
      <c r="AC104" s="4" t="s">
        <v>10</v>
      </c>
      <c r="AD104" s="4" t="s">
        <v>11</v>
      </c>
      <c r="AE104" s="4" t="s">
        <v>12</v>
      </c>
      <c r="AF104" s="4" t="s">
        <v>13</v>
      </c>
      <c r="AG104" s="4" t="s">
        <v>14</v>
      </c>
      <c r="AH104" s="4" t="s">
        <v>15</v>
      </c>
      <c r="AI104" s="4" t="s">
        <v>16</v>
      </c>
      <c r="AJ104" s="4" t="s">
        <v>17</v>
      </c>
      <c r="AK104" s="4" t="s">
        <v>18</v>
      </c>
      <c r="AN104" s="33" t="s">
        <v>28</v>
      </c>
      <c r="AO104" s="33" t="s">
        <v>4</v>
      </c>
    </row>
    <row r="105" spans="1:42">
      <c r="A105" s="2" t="s">
        <v>166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8">
        <v>0</v>
      </c>
      <c r="J105" s="8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S105" s="33">
        <f>C105*0.3</f>
        <v>0</v>
      </c>
      <c r="T105" s="33">
        <f>C105-S105</f>
        <v>0</v>
      </c>
      <c r="W105" s="2" t="s">
        <v>189</v>
      </c>
      <c r="X105" s="10"/>
      <c r="Y105" s="10">
        <v>20.583333333333332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N105" s="38">
        <f>Y105:Y106</f>
        <v>20.583333333333332</v>
      </c>
      <c r="AO105" s="38">
        <v>20</v>
      </c>
    </row>
    <row r="106" spans="1:42">
      <c r="A106" s="2" t="s">
        <v>167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S106" s="33">
        <f>C106*0.2</f>
        <v>0</v>
      </c>
      <c r="T106" s="33">
        <f>C106-S106</f>
        <v>0</v>
      </c>
      <c r="W106" s="2" t="s">
        <v>190</v>
      </c>
      <c r="X106" s="10"/>
      <c r="Y106" s="10">
        <v>20</v>
      </c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N106" s="38">
        <f>Y106:Y107</f>
        <v>20</v>
      </c>
      <c r="AO106" s="38">
        <v>20</v>
      </c>
    </row>
    <row r="107" spans="1:42">
      <c r="A107" s="2" t="s">
        <v>56</v>
      </c>
      <c r="B107" s="10">
        <f>AVERAGE(B103:B106)</f>
        <v>0</v>
      </c>
      <c r="C107" s="10">
        <f>AVERAGE(C103:C106)</f>
        <v>0</v>
      </c>
      <c r="D107" s="10">
        <f>AVERAGE(D103:D106)</f>
        <v>0</v>
      </c>
      <c r="E107" s="10">
        <f t="shared" ref="E107:P107" si="26">AVERAGE(E103:E106)</f>
        <v>0</v>
      </c>
      <c r="F107" s="10">
        <f t="shared" si="26"/>
        <v>0</v>
      </c>
      <c r="G107" s="10">
        <f t="shared" si="26"/>
        <v>0</v>
      </c>
      <c r="H107" s="10">
        <f t="shared" si="26"/>
        <v>0</v>
      </c>
      <c r="I107" s="10">
        <f t="shared" si="26"/>
        <v>0</v>
      </c>
      <c r="J107" s="10">
        <f t="shared" si="26"/>
        <v>0</v>
      </c>
      <c r="K107" s="10">
        <f t="shared" si="26"/>
        <v>0</v>
      </c>
      <c r="L107" s="10">
        <f t="shared" si="26"/>
        <v>0</v>
      </c>
      <c r="M107" s="10">
        <f t="shared" si="26"/>
        <v>0</v>
      </c>
      <c r="N107" s="10">
        <f t="shared" si="26"/>
        <v>0</v>
      </c>
      <c r="O107" s="10">
        <f t="shared" si="26"/>
        <v>0</v>
      </c>
      <c r="P107" s="10">
        <f t="shared" si="26"/>
        <v>0</v>
      </c>
      <c r="S107" s="33">
        <f>AVERAGE(S103:S106)</f>
        <v>0</v>
      </c>
      <c r="T107" s="33">
        <f>AVERAGE(T103:T106)</f>
        <v>0</v>
      </c>
      <c r="W107" s="2" t="s">
        <v>201</v>
      </c>
      <c r="X107" s="10"/>
      <c r="Y107" s="10">
        <v>19.75</v>
      </c>
      <c r="Z107" s="10"/>
      <c r="AA107" s="10"/>
      <c r="AB107" s="10"/>
      <c r="AC107" s="10"/>
      <c r="AD107" s="8"/>
      <c r="AE107" s="8"/>
      <c r="AF107" s="10"/>
      <c r="AG107" s="10"/>
      <c r="AH107" s="10"/>
      <c r="AI107" s="10"/>
      <c r="AJ107" s="10"/>
      <c r="AK107" s="10"/>
      <c r="AL107" s="5"/>
      <c r="AM107" s="5"/>
      <c r="AN107" s="38">
        <f>Y107:Y108</f>
        <v>19.75</v>
      </c>
      <c r="AO107" s="38">
        <v>20</v>
      </c>
      <c r="AP107" s="5"/>
    </row>
    <row r="108" spans="1:42">
      <c r="A108" s="2" t="s">
        <v>30</v>
      </c>
      <c r="B108" s="10"/>
      <c r="C108" s="10"/>
      <c r="D108" s="10"/>
      <c r="E108" s="10">
        <f>C107-S108</f>
        <v>0</v>
      </c>
      <c r="F108" s="10">
        <f>E108</f>
        <v>0</v>
      </c>
      <c r="G108" s="10">
        <f>F108</f>
        <v>0</v>
      </c>
      <c r="H108" s="10">
        <f>G108-S108</f>
        <v>0</v>
      </c>
      <c r="I108" s="10">
        <f>H108</f>
        <v>0</v>
      </c>
      <c r="J108" s="10">
        <f>I108</f>
        <v>0</v>
      </c>
      <c r="K108" s="10">
        <f>J108-S108</f>
        <v>0</v>
      </c>
      <c r="L108" s="10">
        <f>K108</f>
        <v>0</v>
      </c>
      <c r="M108" s="10">
        <f>L108</f>
        <v>0</v>
      </c>
      <c r="N108" s="10">
        <f>M108-S108</f>
        <v>0</v>
      </c>
      <c r="O108" s="10">
        <f>N108</f>
        <v>0</v>
      </c>
      <c r="P108" s="10">
        <f>O108</f>
        <v>0</v>
      </c>
      <c r="S108" s="1">
        <f>S107/4</f>
        <v>0</v>
      </c>
      <c r="T108" s="1"/>
      <c r="W108" s="2" t="s">
        <v>30</v>
      </c>
      <c r="X108" s="10"/>
      <c r="Y108" s="10">
        <v>20</v>
      </c>
      <c r="Z108" s="10">
        <v>20</v>
      </c>
      <c r="AA108" s="10">
        <v>20</v>
      </c>
      <c r="AB108" s="10">
        <v>20</v>
      </c>
      <c r="AC108" s="10">
        <v>20</v>
      </c>
      <c r="AD108" s="10">
        <v>20</v>
      </c>
      <c r="AE108" s="10">
        <v>20</v>
      </c>
      <c r="AF108" s="10">
        <v>20</v>
      </c>
      <c r="AG108" s="10">
        <v>20</v>
      </c>
      <c r="AH108" s="10">
        <v>20</v>
      </c>
      <c r="AI108" s="10">
        <v>20</v>
      </c>
      <c r="AJ108" s="10">
        <v>20</v>
      </c>
      <c r="AK108" s="10">
        <v>20</v>
      </c>
      <c r="AL108" s="5"/>
      <c r="AM108" s="5"/>
      <c r="AN108" s="38">
        <f>AVERAGE(AN105:AN107)</f>
        <v>20.111111111111111</v>
      </c>
      <c r="AO108" s="38">
        <f>AVERAGE(AO105:AO107)</f>
        <v>20</v>
      </c>
      <c r="AP108" s="5"/>
    </row>
    <row r="110" spans="1:42">
      <c r="A110" s="4" t="s">
        <v>221</v>
      </c>
      <c r="B110" s="4">
        <v>2017</v>
      </c>
      <c r="C110" s="4">
        <v>2018</v>
      </c>
      <c r="D110" s="4">
        <v>2019</v>
      </c>
      <c r="E110" s="4" t="s">
        <v>7</v>
      </c>
      <c r="F110" s="4" t="s">
        <v>8</v>
      </c>
      <c r="G110" s="4" t="s">
        <v>9</v>
      </c>
      <c r="H110" s="4" t="s">
        <v>10</v>
      </c>
      <c r="I110" s="4" t="s">
        <v>11</v>
      </c>
      <c r="J110" s="4" t="s">
        <v>12</v>
      </c>
      <c r="K110" s="4" t="s">
        <v>13</v>
      </c>
      <c r="L110" s="4" t="s">
        <v>14</v>
      </c>
      <c r="M110" s="4" t="s">
        <v>15</v>
      </c>
      <c r="N110" s="4" t="s">
        <v>16</v>
      </c>
      <c r="O110" s="4" t="s">
        <v>17</v>
      </c>
      <c r="P110" s="4" t="s">
        <v>18</v>
      </c>
      <c r="S110" s="33" t="s">
        <v>48</v>
      </c>
      <c r="T110" s="33" t="s">
        <v>47</v>
      </c>
    </row>
    <row r="111" spans="1:42">
      <c r="A111" s="2" t="s">
        <v>164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S111" s="33">
        <f>C111*0.3</f>
        <v>0</v>
      </c>
      <c r="T111" s="33">
        <f>C111-S111</f>
        <v>0</v>
      </c>
      <c r="V111" s="5"/>
    </row>
    <row r="112" spans="1:42">
      <c r="A112" s="2" t="s">
        <v>185</v>
      </c>
      <c r="B112" s="10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S112" s="33">
        <f>C112*0.3</f>
        <v>0</v>
      </c>
      <c r="T112" s="33">
        <f>C112-S112</f>
        <v>0</v>
      </c>
      <c r="V112" s="5"/>
    </row>
    <row r="113" spans="1:20">
      <c r="A113" s="2" t="s">
        <v>166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8">
        <v>0</v>
      </c>
      <c r="J113" s="8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S113" s="33">
        <f>C113*0.3</f>
        <v>0</v>
      </c>
      <c r="T113" s="33">
        <f>C113-S113</f>
        <v>0</v>
      </c>
    </row>
    <row r="114" spans="1:20">
      <c r="A114" s="2" t="s">
        <v>167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S114" s="33">
        <f>C114*0.2</f>
        <v>0</v>
      </c>
      <c r="T114" s="33">
        <f>C114-S114</f>
        <v>0</v>
      </c>
    </row>
    <row r="115" spans="1:20">
      <c r="A115" s="2" t="s">
        <v>56</v>
      </c>
      <c r="B115" s="10">
        <f>AVERAGE(B111:B114)</f>
        <v>0</v>
      </c>
      <c r="C115" s="10">
        <f>AVERAGE(C111:C114)</f>
        <v>0</v>
      </c>
      <c r="D115" s="10">
        <f>AVERAGE(D111:D114)</f>
        <v>0</v>
      </c>
      <c r="E115" s="10">
        <f t="shared" ref="E115:P115" si="27">AVERAGE(E111:E114)</f>
        <v>0</v>
      </c>
      <c r="F115" s="10">
        <f t="shared" si="27"/>
        <v>0</v>
      </c>
      <c r="G115" s="10">
        <f t="shared" si="27"/>
        <v>0</v>
      </c>
      <c r="H115" s="10">
        <f t="shared" si="27"/>
        <v>0</v>
      </c>
      <c r="I115" s="10">
        <f t="shared" si="27"/>
        <v>0</v>
      </c>
      <c r="J115" s="10">
        <f t="shared" si="27"/>
        <v>0</v>
      </c>
      <c r="K115" s="10">
        <f t="shared" si="27"/>
        <v>0</v>
      </c>
      <c r="L115" s="10">
        <f t="shared" si="27"/>
        <v>0</v>
      </c>
      <c r="M115" s="10">
        <f t="shared" si="27"/>
        <v>0</v>
      </c>
      <c r="N115" s="10">
        <f t="shared" si="27"/>
        <v>0</v>
      </c>
      <c r="O115" s="10">
        <f t="shared" si="27"/>
        <v>0</v>
      </c>
      <c r="P115" s="10">
        <f t="shared" si="27"/>
        <v>0</v>
      </c>
      <c r="S115" s="33">
        <f>AVERAGE(S111:S114)</f>
        <v>0</v>
      </c>
      <c r="T115" s="33">
        <f>AVERAGE(T111:T114)</f>
        <v>0</v>
      </c>
    </row>
    <row r="116" spans="1:20">
      <c r="A116" s="2" t="s">
        <v>30</v>
      </c>
      <c r="B116" s="10"/>
      <c r="C116" s="10"/>
      <c r="D116" s="10"/>
      <c r="E116" s="10">
        <f>C115-S116</f>
        <v>0</v>
      </c>
      <c r="F116" s="10">
        <f>E116</f>
        <v>0</v>
      </c>
      <c r="G116" s="10">
        <f>F116</f>
        <v>0</v>
      </c>
      <c r="H116" s="10">
        <f>G116-S116</f>
        <v>0</v>
      </c>
      <c r="I116" s="10">
        <f>H116</f>
        <v>0</v>
      </c>
      <c r="J116" s="10">
        <f>I116</f>
        <v>0</v>
      </c>
      <c r="K116" s="10">
        <f>J116-S116</f>
        <v>0</v>
      </c>
      <c r="L116" s="10">
        <f>K116</f>
        <v>0</v>
      </c>
      <c r="M116" s="10">
        <f>L116</f>
        <v>0</v>
      </c>
      <c r="N116" s="10">
        <f>M116-S116</f>
        <v>0</v>
      </c>
      <c r="O116" s="10">
        <f>N116</f>
        <v>0</v>
      </c>
      <c r="P116" s="10">
        <f>O116</f>
        <v>0</v>
      </c>
      <c r="S116" s="1">
        <f>S115/4</f>
        <v>0</v>
      </c>
      <c r="T116" s="1"/>
    </row>
  </sheetData>
  <printOptions horizontalCentered="1" verticalCentered="1"/>
  <pageMargins left="0" right="0" top="0" bottom="0" header="0" footer="0"/>
  <pageSetup paperSize="9" scale="25" orientation="portrait" r:id="rId1"/>
  <ignoredErrors>
    <ignoredError sqref="E75" evalError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topLeftCell="A10" workbookViewId="0">
      <selection activeCell="C31" sqref="C31"/>
    </sheetView>
  </sheetViews>
  <sheetFormatPr defaultRowHeight="15"/>
  <cols>
    <col min="1" max="1" width="74.7109375" style="23" bestFit="1" customWidth="1"/>
    <col min="2" max="2" width="11.42578125" style="24" customWidth="1"/>
    <col min="3" max="3" width="16.42578125" style="24" customWidth="1"/>
    <col min="4" max="4" width="26" style="24" customWidth="1"/>
    <col min="5" max="5" width="16.42578125" style="24" customWidth="1"/>
    <col min="6" max="16384" width="9.140625" style="25"/>
  </cols>
  <sheetData>
    <row r="1" spans="1:5" s="20" customFormat="1" ht="21">
      <c r="A1" s="3" t="s">
        <v>101</v>
      </c>
      <c r="B1" s="18"/>
      <c r="C1" s="19"/>
      <c r="D1" s="19"/>
      <c r="E1" s="19"/>
    </row>
    <row r="3" spans="1:5" s="21" customFormat="1" ht="18.75">
      <c r="A3" s="21" t="s">
        <v>0</v>
      </c>
      <c r="B3" s="21" t="s">
        <v>115</v>
      </c>
      <c r="C3" s="21" t="s">
        <v>1</v>
      </c>
      <c r="D3" s="21" t="s">
        <v>95</v>
      </c>
      <c r="E3" s="21" t="s">
        <v>57</v>
      </c>
    </row>
    <row r="4" spans="1:5" s="22" customFormat="1" ht="18.75">
      <c r="A4" s="22" t="s">
        <v>58</v>
      </c>
      <c r="B4" s="21"/>
    </row>
    <row r="5" spans="1:5">
      <c r="A5" s="30" t="s">
        <v>86</v>
      </c>
      <c r="B5" s="31" t="s">
        <v>3</v>
      </c>
      <c r="C5" s="31" t="s">
        <v>77</v>
      </c>
      <c r="D5" s="31" t="s">
        <v>53</v>
      </c>
      <c r="E5" s="31" t="s">
        <v>54</v>
      </c>
    </row>
    <row r="6" spans="1:5">
      <c r="A6" s="30" t="s">
        <v>87</v>
      </c>
      <c r="B6" s="31" t="s">
        <v>3</v>
      </c>
      <c r="C6" s="31" t="s">
        <v>77</v>
      </c>
      <c r="D6" s="31" t="s">
        <v>53</v>
      </c>
      <c r="E6" s="31" t="s">
        <v>54</v>
      </c>
    </row>
    <row r="7" spans="1:5">
      <c r="A7" s="30" t="s">
        <v>116</v>
      </c>
      <c r="B7" s="31" t="s">
        <v>3</v>
      </c>
      <c r="C7" s="31" t="s">
        <v>77</v>
      </c>
      <c r="D7" s="31" t="s">
        <v>96</v>
      </c>
      <c r="E7" s="31" t="s">
        <v>54</v>
      </c>
    </row>
    <row r="8" spans="1:5">
      <c r="A8" s="23" t="s">
        <v>99</v>
      </c>
      <c r="B8" s="24" t="s">
        <v>75</v>
      </c>
      <c r="C8" s="24" t="s">
        <v>77</v>
      </c>
      <c r="D8" s="24" t="s">
        <v>94</v>
      </c>
      <c r="E8" s="24" t="s">
        <v>55</v>
      </c>
    </row>
    <row r="9" spans="1:5">
      <c r="A9" s="23" t="s">
        <v>100</v>
      </c>
      <c r="B9" s="24" t="s">
        <v>75</v>
      </c>
      <c r="C9" s="24" t="s">
        <v>77</v>
      </c>
      <c r="D9" s="24" t="s">
        <v>96</v>
      </c>
      <c r="E9" s="24" t="s">
        <v>55</v>
      </c>
    </row>
    <row r="10" spans="1:5">
      <c r="A10" s="23" t="s">
        <v>114</v>
      </c>
      <c r="B10" s="24" t="s">
        <v>2</v>
      </c>
      <c r="C10" s="24" t="s">
        <v>78</v>
      </c>
      <c r="D10" s="24" t="s">
        <v>96</v>
      </c>
      <c r="E10" s="24" t="s">
        <v>41</v>
      </c>
    </row>
    <row r="11" spans="1:5">
      <c r="A11" s="23" t="s">
        <v>128</v>
      </c>
      <c r="B11" s="24" t="s">
        <v>2</v>
      </c>
      <c r="C11" s="24" t="s">
        <v>78</v>
      </c>
      <c r="D11" s="24" t="s">
        <v>96</v>
      </c>
      <c r="E11" s="24" t="s">
        <v>41</v>
      </c>
    </row>
    <row r="16" spans="1:5" s="22" customFormat="1" ht="18.75">
      <c r="A16" s="22" t="s">
        <v>60</v>
      </c>
      <c r="B16" s="21"/>
    </row>
    <row r="17" spans="1:5">
      <c r="A17" s="23" t="s">
        <v>148</v>
      </c>
      <c r="B17" s="24" t="s">
        <v>75</v>
      </c>
      <c r="C17" s="24" t="s">
        <v>82</v>
      </c>
      <c r="D17" s="24" t="s">
        <v>149</v>
      </c>
      <c r="E17" s="24" t="s">
        <v>55</v>
      </c>
    </row>
    <row r="18" spans="1:5">
      <c r="A18" s="23" t="s">
        <v>88</v>
      </c>
      <c r="B18" s="24" t="s">
        <v>75</v>
      </c>
      <c r="C18" s="24" t="s">
        <v>82</v>
      </c>
      <c r="D18" s="24" t="s">
        <v>150</v>
      </c>
      <c r="E18" s="24" t="s">
        <v>55</v>
      </c>
    </row>
    <row r="19" spans="1:5">
      <c r="A19" s="23" t="s">
        <v>89</v>
      </c>
      <c r="B19" s="24" t="s">
        <v>75</v>
      </c>
      <c r="C19" s="24" t="s">
        <v>82</v>
      </c>
      <c r="D19" s="24" t="s">
        <v>151</v>
      </c>
      <c r="E19" s="24" t="s">
        <v>55</v>
      </c>
    </row>
    <row r="20" spans="1:5">
      <c r="A20" s="23" t="s">
        <v>152</v>
      </c>
      <c r="B20" s="24" t="s">
        <v>75</v>
      </c>
      <c r="C20" s="24" t="s">
        <v>82</v>
      </c>
      <c r="D20" s="24" t="s">
        <v>153</v>
      </c>
      <c r="E20" s="24" t="s">
        <v>55</v>
      </c>
    </row>
    <row r="21" spans="1:5">
      <c r="A21" s="23" t="s">
        <v>155</v>
      </c>
      <c r="B21" s="24" t="s">
        <v>75</v>
      </c>
      <c r="C21" s="24" t="s">
        <v>82</v>
      </c>
      <c r="D21" s="24" t="s">
        <v>154</v>
      </c>
      <c r="E21" s="24" t="s">
        <v>55</v>
      </c>
    </row>
    <row r="22" spans="1:5">
      <c r="A22" s="23" t="s">
        <v>156</v>
      </c>
      <c r="B22" s="24" t="s">
        <v>2</v>
      </c>
      <c r="C22" s="24" t="s">
        <v>82</v>
      </c>
      <c r="D22" s="24" t="s">
        <v>111</v>
      </c>
      <c r="E22" s="24" t="s">
        <v>41</v>
      </c>
    </row>
    <row r="23" spans="1:5">
      <c r="A23" s="23" t="s">
        <v>157</v>
      </c>
      <c r="B23" s="24" t="s">
        <v>2</v>
      </c>
      <c r="C23" s="24" t="s">
        <v>82</v>
      </c>
      <c r="D23" s="24" t="s">
        <v>102</v>
      </c>
      <c r="E23" s="24" t="s">
        <v>41</v>
      </c>
    </row>
    <row r="24" spans="1:5">
      <c r="A24" s="23" t="s">
        <v>160</v>
      </c>
      <c r="B24" s="24" t="s">
        <v>2</v>
      </c>
      <c r="C24" s="24" t="s">
        <v>82</v>
      </c>
      <c r="D24" s="24" t="s">
        <v>110</v>
      </c>
      <c r="E24" s="24" t="s">
        <v>41</v>
      </c>
    </row>
    <row r="25" spans="1:5">
      <c r="A25" s="30" t="s">
        <v>158</v>
      </c>
      <c r="B25" s="31" t="s">
        <v>3</v>
      </c>
      <c r="C25" s="31" t="s">
        <v>82</v>
      </c>
      <c r="D25" s="31" t="s">
        <v>146</v>
      </c>
      <c r="E25" s="31" t="s">
        <v>54</v>
      </c>
    </row>
    <row r="26" spans="1:5">
      <c r="A26" s="30" t="s">
        <v>159</v>
      </c>
      <c r="B26" s="31" t="s">
        <v>3</v>
      </c>
      <c r="C26" s="31" t="s">
        <v>82</v>
      </c>
      <c r="D26" s="31" t="s">
        <v>147</v>
      </c>
      <c r="E26" s="31" t="s">
        <v>54</v>
      </c>
    </row>
    <row r="27" spans="1:5">
      <c r="A27" s="30" t="s">
        <v>161</v>
      </c>
      <c r="B27" s="31" t="s">
        <v>3</v>
      </c>
      <c r="C27" s="31" t="s">
        <v>82</v>
      </c>
      <c r="D27" s="31" t="s">
        <v>162</v>
      </c>
      <c r="E27" s="31" t="s">
        <v>54</v>
      </c>
    </row>
    <row r="31" spans="1:5" s="22" customFormat="1" ht="18.75">
      <c r="A31" s="22" t="s">
        <v>59</v>
      </c>
      <c r="B31" s="21"/>
    </row>
    <row r="32" spans="1:5">
      <c r="A32" s="23" t="s">
        <v>90</v>
      </c>
      <c r="B32" s="24" t="s">
        <v>75</v>
      </c>
      <c r="C32" s="24" t="s">
        <v>82</v>
      </c>
      <c r="D32" s="24" t="s">
        <v>103</v>
      </c>
      <c r="E32" s="24" t="s">
        <v>55</v>
      </c>
    </row>
    <row r="33" spans="1:5">
      <c r="A33" s="23" t="s">
        <v>91</v>
      </c>
      <c r="B33" s="24" t="s">
        <v>75</v>
      </c>
      <c r="C33" s="24" t="s">
        <v>81</v>
      </c>
      <c r="D33" s="24" t="s">
        <v>104</v>
      </c>
      <c r="E33" s="24" t="s">
        <v>55</v>
      </c>
    </row>
    <row r="34" spans="1:5">
      <c r="A34" s="23" t="s">
        <v>108</v>
      </c>
      <c r="B34" s="24" t="s">
        <v>75</v>
      </c>
      <c r="C34" s="24" t="s">
        <v>81</v>
      </c>
      <c r="D34" s="24" t="s">
        <v>106</v>
      </c>
      <c r="E34" s="24" t="s">
        <v>55</v>
      </c>
    </row>
    <row r="35" spans="1:5">
      <c r="A35" s="23" t="s">
        <v>107</v>
      </c>
      <c r="B35" s="24" t="s">
        <v>75</v>
      </c>
      <c r="C35" s="24" t="s">
        <v>77</v>
      </c>
      <c r="D35" s="24" t="s">
        <v>105</v>
      </c>
      <c r="E35" s="24" t="s">
        <v>55</v>
      </c>
    </row>
    <row r="36" spans="1:5">
      <c r="A36" s="30" t="s">
        <v>92</v>
      </c>
      <c r="B36" s="31" t="s">
        <v>3</v>
      </c>
      <c r="C36" s="31" t="s">
        <v>78</v>
      </c>
      <c r="D36" s="31" t="s">
        <v>117</v>
      </c>
      <c r="E36" s="31" t="s">
        <v>54</v>
      </c>
    </row>
    <row r="37" spans="1:5">
      <c r="A37" s="30" t="s">
        <v>93</v>
      </c>
      <c r="B37" s="31" t="s">
        <v>3</v>
      </c>
      <c r="C37" s="31" t="s">
        <v>80</v>
      </c>
      <c r="D37" s="31" t="s">
        <v>117</v>
      </c>
      <c r="E37" s="31" t="s">
        <v>54</v>
      </c>
    </row>
    <row r="38" spans="1:5">
      <c r="A38" s="30" t="s">
        <v>97</v>
      </c>
      <c r="B38" s="31" t="s">
        <v>3</v>
      </c>
      <c r="C38" s="31" t="s">
        <v>79</v>
      </c>
      <c r="D38" s="31" t="s">
        <v>118</v>
      </c>
      <c r="E38" s="31" t="s">
        <v>54</v>
      </c>
    </row>
    <row r="39" spans="1:5">
      <c r="A39" s="30" t="s">
        <v>98</v>
      </c>
      <c r="B39" s="31" t="s">
        <v>3</v>
      </c>
      <c r="C39" s="31" t="s">
        <v>77</v>
      </c>
      <c r="D39" s="31" t="s">
        <v>119</v>
      </c>
      <c r="E39" s="31" t="s">
        <v>54</v>
      </c>
    </row>
    <row r="40" spans="1:5">
      <c r="A40" s="30" t="s">
        <v>121</v>
      </c>
      <c r="B40" s="31" t="s">
        <v>3</v>
      </c>
      <c r="C40" s="31" t="s">
        <v>78</v>
      </c>
      <c r="D40" s="31" t="s">
        <v>120</v>
      </c>
      <c r="E40" s="31" t="s">
        <v>54</v>
      </c>
    </row>
    <row r="41" spans="1:5">
      <c r="A41" s="23" t="s">
        <v>122</v>
      </c>
      <c r="B41" s="24" t="s">
        <v>6</v>
      </c>
      <c r="C41" s="24" t="s">
        <v>82</v>
      </c>
      <c r="D41" s="24" t="s">
        <v>113</v>
      </c>
      <c r="E41" s="24" t="s">
        <v>112</v>
      </c>
    </row>
    <row r="42" spans="1:5">
      <c r="A42" s="23" t="s">
        <v>123</v>
      </c>
      <c r="B42" s="24" t="s">
        <v>6</v>
      </c>
      <c r="C42" s="24" t="s">
        <v>81</v>
      </c>
      <c r="D42" s="24" t="s">
        <v>109</v>
      </c>
      <c r="E42" s="24" t="s">
        <v>112</v>
      </c>
    </row>
    <row r="43" spans="1:5">
      <c r="A43" s="23" t="s">
        <v>124</v>
      </c>
      <c r="B43" s="24" t="s">
        <v>6</v>
      </c>
      <c r="C43" s="24" t="s">
        <v>77</v>
      </c>
      <c r="D43" s="24" t="s">
        <v>139</v>
      </c>
      <c r="E43" s="24" t="s">
        <v>112</v>
      </c>
    </row>
    <row r="44" spans="1:5">
      <c r="A44" s="23" t="s">
        <v>125</v>
      </c>
      <c r="B44" s="24" t="s">
        <v>2</v>
      </c>
      <c r="C44" s="24" t="s">
        <v>78</v>
      </c>
      <c r="D44" s="24" t="s">
        <v>109</v>
      </c>
      <c r="E44" s="24" t="s">
        <v>41</v>
      </c>
    </row>
    <row r="45" spans="1:5">
      <c r="A45" s="23" t="s">
        <v>126</v>
      </c>
      <c r="B45" s="24" t="s">
        <v>2</v>
      </c>
      <c r="C45" s="24" t="s">
        <v>76</v>
      </c>
      <c r="D45" s="24" t="s">
        <v>113</v>
      </c>
      <c r="E45" s="24" t="s">
        <v>41</v>
      </c>
    </row>
    <row r="46" spans="1:5">
      <c r="A46" s="23" t="s">
        <v>127</v>
      </c>
      <c r="B46" s="24" t="s">
        <v>2</v>
      </c>
      <c r="C46" s="24" t="s">
        <v>76</v>
      </c>
      <c r="D46" s="24" t="s">
        <v>109</v>
      </c>
      <c r="E46" s="24" t="s">
        <v>41</v>
      </c>
    </row>
  </sheetData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40" zoomScaleNormal="40" workbookViewId="0">
      <selection activeCell="U47" sqref="R40:U47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BMK</vt:lpstr>
      <vt:lpstr>INDICES</vt:lpstr>
      <vt:lpstr>ACTIVITIES</vt:lpstr>
      <vt:lpstr>FOR POSTING</vt:lpstr>
      <vt:lpstr>BMK!Print_Area</vt:lpstr>
      <vt:lpstr>INDICES!Print_Area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- PC</dc:creator>
  <cp:lastModifiedBy>Inspiron 14</cp:lastModifiedBy>
  <cp:lastPrinted>2019-04-24T01:48:38Z</cp:lastPrinted>
  <dcterms:created xsi:type="dcterms:W3CDTF">2015-04-11T02:21:24Z</dcterms:created>
  <dcterms:modified xsi:type="dcterms:W3CDTF">2019-04-29T07:01:22Z</dcterms:modified>
</cp:coreProperties>
</file>